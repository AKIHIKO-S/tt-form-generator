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11" documentId="14_{52D0778B-DCB3-4800-B9C5-59261BD5D179}" xr6:coauthVersionLast="47" xr6:coauthVersionMax="47" xr10:uidLastSave="{233E631E-EB2B-4857-AF5B-594D0E48E4E5}"/>
  <bookViews>
    <workbookView xWindow="2183" yWindow="712" windowWidth="18974" windowHeight="12833" tabRatio="559" xr2:uid="{00000000-000D-0000-FFFF-FFFF00000000}"/>
  </bookViews>
  <sheets>
    <sheet name="団体名等入力" sheetId="3" r:id="rId1"/>
    <sheet name="男女シングルス" sheetId="22" r:id="rId2"/>
    <sheet name="団体 (記載例)" sheetId="6" state="hidden" r:id="rId3"/>
    <sheet name="シングルス (記載例)" sheetId="7" state="hidden" r:id="rId4"/>
    <sheet name="合計金額" sheetId="24" r:id="rId5"/>
  </sheets>
  <definedNames>
    <definedName name="_xlnm._FilterDatabase" localSheetId="3" hidden="1">'シングルス (記載例)'!$A$4:$H$47</definedName>
    <definedName name="_xlnm._FilterDatabase" localSheetId="1" hidden="1">男女シングルス!$A$4:$J$17</definedName>
    <definedName name="_xlnm.Print_Area" localSheetId="4">合計金額!$A$1:$F$9</definedName>
    <definedName name="_xlnm.Print_Area" localSheetId="0">団体名等入力!$A$1:$D$5</definedName>
    <definedName name="_xlnm.Print_Area" localSheetId="1">男女シングルス!$A$1:$F$48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24" l="1"/>
  <c r="C2" i="22"/>
  <c r="C1" i="22" l="1"/>
  <c r="A43" i="22"/>
  <c r="A44" i="22" s="1"/>
  <c r="A42" i="22"/>
  <c r="A41" i="22"/>
  <c r="A40" i="22"/>
  <c r="A39" i="22"/>
  <c r="A38" i="22"/>
  <c r="A37" i="22"/>
  <c r="A36" i="22"/>
  <c r="A35" i="22"/>
  <c r="A34" i="22"/>
  <c r="A33" i="22"/>
  <c r="A32" i="22"/>
  <c r="A31" i="22"/>
  <c r="A30" i="22"/>
  <c r="A29" i="22"/>
  <c r="A28" i="22"/>
  <c r="A27" i="22"/>
  <c r="A26" i="22"/>
  <c r="A25" i="22"/>
  <c r="A24" i="22"/>
  <c r="A23" i="22"/>
  <c r="A22" i="22"/>
  <c r="A21" i="22"/>
  <c r="A20" i="22"/>
  <c r="A19" i="22"/>
  <c r="A18" i="22"/>
  <c r="A17" i="22"/>
  <c r="A16" i="22"/>
  <c r="A15" i="22"/>
  <c r="A11" i="22"/>
  <c r="A12" i="22" s="1"/>
  <c r="A13" i="22" s="1"/>
  <c r="A14" i="22" s="1"/>
  <c r="A10" i="22"/>
  <c r="A6" i="22"/>
  <c r="A7" i="22" s="1"/>
  <c r="A8" i="22" s="1"/>
  <c r="A9" i="22" s="1"/>
  <c r="A5" i="22"/>
  <c r="I17" i="22" l="1"/>
  <c r="K17" i="22" s="1"/>
  <c r="I18" i="22"/>
  <c r="K18" i="22" s="1"/>
  <c r="I13" i="22"/>
  <c r="K13" i="22" s="1"/>
  <c r="I15" i="22"/>
  <c r="K15" i="22" s="1"/>
  <c r="I10" i="22"/>
  <c r="K10" i="22" s="1"/>
  <c r="I16" i="22"/>
  <c r="K16" i="22" s="1"/>
  <c r="I12" i="22"/>
  <c r="K12" i="22" s="1"/>
  <c r="I11" i="22"/>
  <c r="K11" i="22" s="1"/>
  <c r="I14" i="22"/>
  <c r="K14" i="22" s="1"/>
  <c r="I9" i="22"/>
  <c r="I7" i="22" l="1"/>
  <c r="C46" i="22" s="1"/>
  <c r="K9" i="22"/>
  <c r="K7" i="22" s="1"/>
  <c r="C47" i="22" l="1"/>
  <c r="D6" i="24" s="1"/>
  <c r="C2" i="7"/>
  <c r="D2" i="6"/>
  <c r="I6" i="6" l="1"/>
  <c r="J6" i="6" s="1"/>
  <c r="I7" i="6"/>
  <c r="J7" i="6" s="1"/>
  <c r="I8" i="6"/>
  <c r="J8" i="6" s="1"/>
  <c r="I9" i="6"/>
  <c r="J9" i="6" s="1"/>
  <c r="I10" i="6"/>
  <c r="J10" i="6" s="1"/>
  <c r="I11" i="6"/>
  <c r="J11" i="6" s="1"/>
  <c r="I12" i="6"/>
  <c r="J12" i="6" s="1"/>
  <c r="I13" i="6"/>
  <c r="J13" i="6" s="1"/>
  <c r="I14" i="6"/>
  <c r="J14" i="6" s="1"/>
  <c r="I15" i="6"/>
  <c r="J15" i="6" s="1"/>
  <c r="I16" i="6"/>
  <c r="J16" i="6" s="1"/>
  <c r="I17" i="6"/>
  <c r="J17" i="6" s="1"/>
  <c r="I18" i="6"/>
  <c r="J18" i="6" s="1"/>
  <c r="I19" i="6"/>
  <c r="J19" i="6" s="1"/>
  <c r="I20" i="6"/>
  <c r="J20" i="6" s="1"/>
  <c r="I21" i="6"/>
  <c r="J21" i="6" s="1"/>
  <c r="I22" i="6"/>
  <c r="J22" i="6" s="1"/>
  <c r="I23" i="6"/>
  <c r="J23" i="6" s="1"/>
  <c r="I24" i="6"/>
  <c r="J24" i="6" s="1"/>
  <c r="I5" i="6"/>
  <c r="J5" i="6" s="1"/>
  <c r="E46" i="7" l="1"/>
  <c r="G44" i="7"/>
  <c r="H44" i="7" s="1"/>
  <c r="G43" i="7"/>
  <c r="H43" i="7" s="1"/>
  <c r="G42" i="7"/>
  <c r="H42" i="7" s="1"/>
  <c r="G41" i="7"/>
  <c r="H41" i="7" s="1"/>
  <c r="G40" i="7"/>
  <c r="H40" i="7" s="1"/>
  <c r="G39" i="7"/>
  <c r="H39" i="7" s="1"/>
  <c r="G38" i="7"/>
  <c r="H38" i="7" s="1"/>
  <c r="G37" i="7"/>
  <c r="H37" i="7" s="1"/>
  <c r="G36" i="7"/>
  <c r="H36" i="7" s="1"/>
  <c r="G35" i="7"/>
  <c r="H35" i="7" s="1"/>
  <c r="G34" i="7"/>
  <c r="H34" i="7" s="1"/>
  <c r="G33" i="7"/>
  <c r="H33" i="7" s="1"/>
  <c r="G32" i="7"/>
  <c r="H32" i="7" s="1"/>
  <c r="G31" i="7"/>
  <c r="H31" i="7" s="1"/>
  <c r="G30" i="7"/>
  <c r="H30" i="7" s="1"/>
  <c r="G29" i="7"/>
  <c r="H29" i="7" s="1"/>
  <c r="G28" i="7"/>
  <c r="H28" i="7" s="1"/>
  <c r="G27" i="7"/>
  <c r="H27" i="7" s="1"/>
  <c r="G26" i="7"/>
  <c r="H26" i="7" s="1"/>
  <c r="G25" i="7"/>
  <c r="H25" i="7" s="1"/>
  <c r="G24" i="7"/>
  <c r="H24" i="7" s="1"/>
  <c r="G23" i="7"/>
  <c r="H23" i="7" s="1"/>
  <c r="G22" i="7"/>
  <c r="H22" i="7" s="1"/>
  <c r="G21" i="7"/>
  <c r="H21" i="7" s="1"/>
  <c r="G20" i="7"/>
  <c r="H20" i="7" s="1"/>
  <c r="G19" i="7"/>
  <c r="H19" i="7" s="1"/>
  <c r="G18" i="7"/>
  <c r="H18" i="7" s="1"/>
  <c r="G17" i="7"/>
  <c r="H17" i="7" s="1"/>
  <c r="G16" i="7"/>
  <c r="H16" i="7" s="1"/>
  <c r="G15" i="7"/>
  <c r="H15" i="7" s="1"/>
  <c r="G14" i="7"/>
  <c r="H14" i="7" s="1"/>
  <c r="G13" i="7"/>
  <c r="H13" i="7" s="1"/>
  <c r="G12" i="7"/>
  <c r="H12" i="7" s="1"/>
  <c r="G11" i="7"/>
  <c r="H11" i="7" s="1"/>
  <c r="G10" i="7"/>
  <c r="H10" i="7" s="1"/>
  <c r="G9" i="7"/>
  <c r="H9" i="7" s="1"/>
  <c r="G8" i="7"/>
  <c r="H8" i="7" s="1"/>
  <c r="G7" i="7"/>
  <c r="H7" i="7" s="1"/>
  <c r="G6" i="7"/>
  <c r="H6" i="7" s="1"/>
  <c r="G5" i="7"/>
  <c r="H5" i="7" s="1"/>
  <c r="C1" i="7"/>
  <c r="G26" i="6"/>
  <c r="D1" i="6"/>
  <c r="G45" i="7" l="1"/>
  <c r="H45" i="7" s="1"/>
  <c r="E47" i="7" s="1"/>
  <c r="J27" i="6"/>
  <c r="G27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F4" authorId="0" shapeId="0" xr:uid="{D14AE19D-EC4D-4882-87CC-15B6DE0D0305}">
      <text>
        <r>
          <rPr>
            <b/>
            <sz val="9"/>
            <color indexed="81"/>
            <rFont val="MS P ゴシック"/>
            <family val="3"/>
            <charset val="128"/>
          </rPr>
          <t>【備考】
読みにくい氏名のフリガナなど、特記事項があれば、ご記入ください。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H4" authorId="0" shapeId="0" xr:uid="{00000000-0006-0000-07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一人でも未登録者がいれば未登録となります。</t>
        </r>
      </text>
    </comment>
  </commentList>
</comments>
</file>

<file path=xl/sharedStrings.xml><?xml version="1.0" encoding="utf-8"?>
<sst xmlns="http://schemas.openxmlformats.org/spreadsheetml/2006/main" count="151" uniqueCount="74">
  <si>
    <t>大会名</t>
    <rPh sb="0" eb="2">
      <t>タイカイ</t>
    </rPh>
    <rPh sb="2" eb="3">
      <t>メイ</t>
    </rPh>
    <phoneticPr fontId="1"/>
  </si>
  <si>
    <t>氏名</t>
    <rPh sb="0" eb="2">
      <t>シメイ</t>
    </rPh>
    <phoneticPr fontId="1"/>
  </si>
  <si>
    <t>団体名</t>
    <rPh sb="0" eb="2">
      <t>ダンタイ</t>
    </rPh>
    <rPh sb="2" eb="3">
      <t>メイ</t>
    </rPh>
    <phoneticPr fontId="1"/>
  </si>
  <si>
    <t>金額</t>
    <rPh sb="0" eb="2">
      <t>キンガク</t>
    </rPh>
    <phoneticPr fontId="1"/>
  </si>
  <si>
    <t>釧路市役所</t>
    <rPh sb="0" eb="5">
      <t>クシロシヤクショ</t>
    </rPh>
    <phoneticPr fontId="1"/>
  </si>
  <si>
    <t>一般</t>
  </si>
  <si>
    <t>高校</t>
  </si>
  <si>
    <t>出場者</t>
    <rPh sb="0" eb="3">
      <t>シュツジョウシャ</t>
    </rPh>
    <phoneticPr fontId="1"/>
  </si>
  <si>
    <t>氏名1</t>
    <rPh sb="0" eb="2">
      <t>シメイ</t>
    </rPh>
    <phoneticPr fontId="1"/>
  </si>
  <si>
    <t>氏名2</t>
    <rPh sb="0" eb="2">
      <t>シメイ</t>
    </rPh>
    <phoneticPr fontId="1"/>
  </si>
  <si>
    <t>チーム名</t>
    <rPh sb="3" eb="4">
      <t>メイ</t>
    </rPh>
    <phoneticPr fontId="1"/>
  </si>
  <si>
    <t>氏名3</t>
    <rPh sb="0" eb="2">
      <t>シメイ</t>
    </rPh>
    <phoneticPr fontId="1"/>
  </si>
  <si>
    <t>氏名4</t>
    <rPh sb="0" eb="2">
      <t>シメイ</t>
    </rPh>
    <phoneticPr fontId="1"/>
  </si>
  <si>
    <t>出場チーム</t>
    <rPh sb="0" eb="2">
      <t>シュツジョウ</t>
    </rPh>
    <phoneticPr fontId="1"/>
  </si>
  <si>
    <t>登録/未登録</t>
    <rPh sb="0" eb="2">
      <t>トウロク</t>
    </rPh>
    <rPh sb="3" eb="6">
      <t>ミトウロク</t>
    </rPh>
    <phoneticPr fontId="1"/>
  </si>
  <si>
    <t>　</t>
  </si>
  <si>
    <t>小学</t>
  </si>
  <si>
    <t>ウィング</t>
    <phoneticPr fontId="1"/>
  </si>
  <si>
    <t>出場種目</t>
    <rPh sb="0" eb="2">
      <t>シュツジョウ</t>
    </rPh>
    <rPh sb="2" eb="4">
      <t>シュモク</t>
    </rPh>
    <phoneticPr fontId="1"/>
  </si>
  <si>
    <t>年齢
（年度末）</t>
    <rPh sb="0" eb="2">
      <t>ネンレイ</t>
    </rPh>
    <rPh sb="4" eb="7">
      <t>ネンドマツ</t>
    </rPh>
    <phoneticPr fontId="1"/>
  </si>
  <si>
    <t>区分</t>
    <rPh sb="0" eb="2">
      <t>クブン</t>
    </rPh>
    <phoneticPr fontId="1"/>
  </si>
  <si>
    <t>佐々木　伸治</t>
    <rPh sb="0" eb="3">
      <t>ササキ</t>
    </rPh>
    <rPh sb="4" eb="6">
      <t>シンジ</t>
    </rPh>
    <phoneticPr fontId="1"/>
  </si>
  <si>
    <t>藤川　伸治</t>
    <rPh sb="0" eb="2">
      <t>フジカワ</t>
    </rPh>
    <rPh sb="3" eb="5">
      <t>シンジ</t>
    </rPh>
    <phoneticPr fontId="1"/>
  </si>
  <si>
    <t>山﨑　伸治</t>
    <rPh sb="0" eb="2">
      <t>ヤマザキ</t>
    </rPh>
    <rPh sb="3" eb="5">
      <t>シンジ</t>
    </rPh>
    <phoneticPr fontId="1"/>
  </si>
  <si>
    <t>連絡先（電話番号）</t>
    <rPh sb="0" eb="3">
      <t>レンラクサキ</t>
    </rPh>
    <rPh sb="4" eb="6">
      <t>デンワ</t>
    </rPh>
    <rPh sb="6" eb="8">
      <t>バンゴウ</t>
    </rPh>
    <phoneticPr fontId="1"/>
  </si>
  <si>
    <t>中村　伸治</t>
    <rPh sb="0" eb="2">
      <t>ナカムラ</t>
    </rPh>
    <rPh sb="3" eb="5">
      <t>シンジ</t>
    </rPh>
    <phoneticPr fontId="1"/>
  </si>
  <si>
    <t>小池　樹</t>
    <rPh sb="0" eb="2">
      <t>コイケ</t>
    </rPh>
    <rPh sb="3" eb="4">
      <t>タツキ</t>
    </rPh>
    <phoneticPr fontId="1"/>
  </si>
  <si>
    <t>安田　栄子</t>
    <rPh sb="0" eb="2">
      <t>ヤスダ</t>
    </rPh>
    <rPh sb="3" eb="5">
      <t>エイコ</t>
    </rPh>
    <phoneticPr fontId="1"/>
  </si>
  <si>
    <t>吉田　音華</t>
    <rPh sb="0" eb="2">
      <t>ヨシダ</t>
    </rPh>
    <rPh sb="3" eb="4">
      <t>ナリカ</t>
    </rPh>
    <phoneticPr fontId="1"/>
  </si>
  <si>
    <t>小池　一則</t>
    <rPh sb="0" eb="2">
      <t>コイケ</t>
    </rPh>
    <rPh sb="3" eb="5">
      <t>カズノリ</t>
    </rPh>
    <phoneticPr fontId="1"/>
  </si>
  <si>
    <t>伊藤　一則</t>
    <rPh sb="0" eb="2">
      <t>イトウ</t>
    </rPh>
    <rPh sb="3" eb="5">
      <t>カズノリ</t>
    </rPh>
    <phoneticPr fontId="1"/>
  </si>
  <si>
    <t>大利　浩紀</t>
    <rPh sb="0" eb="2">
      <t>オオリ</t>
    </rPh>
    <rPh sb="3" eb="5">
      <t>ヒロノリ</t>
    </rPh>
    <phoneticPr fontId="1"/>
  </si>
  <si>
    <t>大野　和央</t>
    <rPh sb="0" eb="2">
      <t>オオノ</t>
    </rPh>
    <rPh sb="3" eb="4">
      <t>カズ</t>
    </rPh>
    <rPh sb="4" eb="5">
      <t>ヒサ</t>
    </rPh>
    <phoneticPr fontId="1"/>
  </si>
  <si>
    <t>守田　浩</t>
    <rPh sb="0" eb="2">
      <t>モリタ</t>
    </rPh>
    <rPh sb="3" eb="4">
      <t>ヒロシ</t>
    </rPh>
    <phoneticPr fontId="1"/>
  </si>
  <si>
    <t>田口　茂樹</t>
    <rPh sb="0" eb="2">
      <t>タグチ</t>
    </rPh>
    <rPh sb="3" eb="5">
      <t>シゲキ</t>
    </rPh>
    <phoneticPr fontId="1"/>
  </si>
  <si>
    <t>２０歳代以下</t>
  </si>
  <si>
    <t>４０歳代</t>
  </si>
  <si>
    <t>高校２年</t>
  </si>
  <si>
    <t>５０歳代</t>
  </si>
  <si>
    <t>○○少年団</t>
    <rPh sb="2" eb="5">
      <t>ショウネンダン</t>
    </rPh>
    <phoneticPr fontId="1"/>
  </si>
  <si>
    <t>□□クラブ</t>
    <phoneticPr fontId="1"/>
  </si>
  <si>
    <t>◆◆TTC</t>
    <phoneticPr fontId="1"/>
  </si>
  <si>
    <t>申込責任者</t>
    <rPh sb="0" eb="2">
      <t>モウシコミ</t>
    </rPh>
    <rPh sb="2" eb="5">
      <t>セキニンシャ</t>
    </rPh>
    <phoneticPr fontId="1"/>
  </si>
  <si>
    <t>引率顧問等</t>
    <rPh sb="0" eb="2">
      <t>インソツ</t>
    </rPh>
    <rPh sb="2" eb="4">
      <t>コモン</t>
    </rPh>
    <rPh sb="4" eb="5">
      <t>トウ</t>
    </rPh>
    <phoneticPr fontId="1"/>
  </si>
  <si>
    <t>顧問</t>
    <rPh sb="0" eb="2">
      <t>コモン</t>
    </rPh>
    <phoneticPr fontId="1"/>
  </si>
  <si>
    <t>コーチ</t>
    <phoneticPr fontId="1"/>
  </si>
  <si>
    <t>※引率顧問等の氏名を記載願います。</t>
    <rPh sb="1" eb="3">
      <t>インソツ</t>
    </rPh>
    <rPh sb="3" eb="5">
      <t>コモン</t>
    </rPh>
    <rPh sb="5" eb="6">
      <t>トウ</t>
    </rPh>
    <rPh sb="7" eb="9">
      <t>シメイ</t>
    </rPh>
    <rPh sb="10" eb="13">
      <t>キサイネガ</t>
    </rPh>
    <phoneticPr fontId="1"/>
  </si>
  <si>
    <t>今大会は、無観客試合とさせていただきます。選手・顧問・コーチ以外は入場、観戦、応援不可。</t>
    <phoneticPr fontId="1"/>
  </si>
  <si>
    <t>≪参加料は、大会当日の開会式前(午前8時15分～8時45分の間)に受付（本部席）でお支払いください。≫</t>
    <rPh sb="36" eb="39">
      <t>ホンブセキ</t>
    </rPh>
    <phoneticPr fontId="1"/>
  </si>
  <si>
    <t>シングルス（男子・女子）</t>
    <rPh sb="6" eb="8">
      <t>ダンシ</t>
    </rPh>
    <rPh sb="9" eb="11">
      <t>ジョシ</t>
    </rPh>
    <phoneticPr fontId="1"/>
  </si>
  <si>
    <t>備考</t>
    <rPh sb="0" eb="2">
      <t>ビコウ</t>
    </rPh>
    <phoneticPr fontId="17"/>
  </si>
  <si>
    <t>申込数合計</t>
    <rPh sb="0" eb="2">
      <t>モウシコミ</t>
    </rPh>
    <rPh sb="2" eb="3">
      <t>スウ</t>
    </rPh>
    <rPh sb="3" eb="5">
      <t>ゴウケイ</t>
    </rPh>
    <phoneticPr fontId="17"/>
  </si>
  <si>
    <t>金額合計</t>
    <rPh sb="0" eb="4">
      <t>キンガクゴウケイ</t>
    </rPh>
    <phoneticPr fontId="17"/>
  </si>
  <si>
    <t>申込区分</t>
    <rPh sb="0" eb="2">
      <t>モウシコミ</t>
    </rPh>
    <rPh sb="2" eb="4">
      <t>クブン</t>
    </rPh>
    <phoneticPr fontId="17"/>
  </si>
  <si>
    <t>申込数</t>
    <rPh sb="0" eb="2">
      <t>モウシコミ</t>
    </rPh>
    <rPh sb="2" eb="3">
      <t>スウ</t>
    </rPh>
    <phoneticPr fontId="17"/>
  </si>
  <si>
    <t>金額</t>
    <rPh sb="0" eb="2">
      <t>キンガク</t>
    </rPh>
    <phoneticPr fontId="17"/>
  </si>
  <si>
    <t>計</t>
    <rPh sb="0" eb="1">
      <t>ケイ</t>
    </rPh>
    <phoneticPr fontId="17"/>
  </si>
  <si>
    <t>一般男子</t>
    <rPh sb="0" eb="4">
      <t>イッパンダンシ</t>
    </rPh>
    <phoneticPr fontId="17"/>
  </si>
  <si>
    <t>一般女子</t>
    <rPh sb="0" eb="4">
      <t>イッパンジョシ</t>
    </rPh>
    <phoneticPr fontId="17"/>
  </si>
  <si>
    <t>高校男子</t>
    <rPh sb="0" eb="2">
      <t>コウコウ</t>
    </rPh>
    <rPh sb="2" eb="4">
      <t>ダンシ</t>
    </rPh>
    <phoneticPr fontId="1"/>
  </si>
  <si>
    <t>高校女子</t>
    <rPh sb="0" eb="2">
      <t>コウコウ</t>
    </rPh>
    <rPh sb="2" eb="4">
      <t>ジョシ</t>
    </rPh>
    <phoneticPr fontId="1"/>
  </si>
  <si>
    <t>13歳男子（中学1年）以下</t>
    <rPh sb="2" eb="3">
      <t>サイ</t>
    </rPh>
    <rPh sb="3" eb="5">
      <t>ダンシ</t>
    </rPh>
    <rPh sb="6" eb="8">
      <t>チュウガク</t>
    </rPh>
    <rPh sb="9" eb="10">
      <t>ネン</t>
    </rPh>
    <rPh sb="11" eb="13">
      <t>イカ</t>
    </rPh>
    <phoneticPr fontId="1"/>
  </si>
  <si>
    <t>13歳女子（中学1年）以下</t>
    <rPh sb="2" eb="3">
      <t>サイ</t>
    </rPh>
    <rPh sb="3" eb="5">
      <t>ジョシ</t>
    </rPh>
    <rPh sb="6" eb="8">
      <t>チュウガク</t>
    </rPh>
    <rPh sb="9" eb="10">
      <t>ネン</t>
    </rPh>
    <rPh sb="11" eb="13">
      <t>イカ</t>
    </rPh>
    <phoneticPr fontId="1"/>
  </si>
  <si>
    <t>種目</t>
    <rPh sb="0" eb="2">
      <t>シュモク</t>
    </rPh>
    <phoneticPr fontId="1"/>
  </si>
  <si>
    <t>合計金額</t>
    <rPh sb="0" eb="2">
      <t>ゴウケイ</t>
    </rPh>
    <rPh sb="2" eb="4">
      <t>キンガク</t>
    </rPh>
    <phoneticPr fontId="1"/>
  </si>
  <si>
    <t>大会参加料の合計は</t>
    <rPh sb="0" eb="2">
      <t>タイカイ</t>
    </rPh>
    <rPh sb="2" eb="5">
      <t>サンカリョウ</t>
    </rPh>
    <rPh sb="6" eb="8">
      <t>ゴウケイ</t>
    </rPh>
    <phoneticPr fontId="1"/>
  </si>
  <si>
    <t>です。</t>
    <phoneticPr fontId="1"/>
  </si>
  <si>
    <t>様</t>
    <rPh sb="0" eb="1">
      <t>サマ</t>
    </rPh>
    <phoneticPr fontId="1"/>
  </si>
  <si>
    <t>14歳男子（中学2年）以下</t>
    <rPh sb="2" eb="3">
      <t>サイ</t>
    </rPh>
    <rPh sb="3" eb="5">
      <t>ダンシ</t>
    </rPh>
    <rPh sb="6" eb="8">
      <t>チュウガク</t>
    </rPh>
    <rPh sb="9" eb="10">
      <t>ネン</t>
    </rPh>
    <rPh sb="11" eb="13">
      <t>イカ</t>
    </rPh>
    <phoneticPr fontId="1"/>
  </si>
  <si>
    <t>14歳女子（中学2年）以下</t>
    <rPh sb="2" eb="3">
      <t>サイ</t>
    </rPh>
    <rPh sb="3" eb="5">
      <t>ジョシ</t>
    </rPh>
    <rPh sb="6" eb="8">
      <t>チュウガク</t>
    </rPh>
    <rPh sb="9" eb="10">
      <t>ネン</t>
    </rPh>
    <rPh sb="11" eb="13">
      <t>イカ</t>
    </rPh>
    <phoneticPr fontId="1"/>
  </si>
  <si>
    <t>釧路ジュニア選手権 (兼北海道選手権地区予選会)</t>
    <rPh sb="0" eb="2">
      <t>クシロ</t>
    </rPh>
    <rPh sb="6" eb="9">
      <t>センシュケン</t>
    </rPh>
    <rPh sb="11" eb="12">
      <t>ケン</t>
    </rPh>
    <rPh sb="12" eb="15">
      <t>ホッカイドウ</t>
    </rPh>
    <rPh sb="15" eb="18">
      <t>センシュケン</t>
    </rPh>
    <rPh sb="18" eb="20">
      <t>チク</t>
    </rPh>
    <rPh sb="20" eb="22">
      <t>ヨセン</t>
    </rPh>
    <rPh sb="22" eb="23">
      <t>カイ</t>
    </rPh>
    <phoneticPr fontId="1"/>
  </si>
  <si>
    <t>ジュニア選手権男子</t>
    <rPh sb="4" eb="7">
      <t>センシュケン</t>
    </rPh>
    <rPh sb="7" eb="9">
      <t>ダンシ</t>
    </rPh>
    <phoneticPr fontId="1"/>
  </si>
  <si>
    <t>ジュニア選手権女子</t>
    <rPh sb="4" eb="7">
      <t>センシュケン</t>
    </rPh>
    <rPh sb="7" eb="9">
      <t>ジョシ</t>
    </rPh>
    <phoneticPr fontId="1"/>
  </si>
  <si>
    <t>全道大会
参加意思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</si>
</sst>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¥&quot;#,##0;&quot;¥&quot;\-#,##0"/>
    <numFmt numFmtId="176" formatCode="#,##0&quot;人&quot;"/>
    <numFmt numFmtId="177" formatCode="#,##0&quot;チーム&quot;"/>
    <numFmt numFmtId="178" formatCode="[$-411]ggge&quot;年&quot;m&quot;月&quot;d&quot;日&quot;;@"/>
    <numFmt numFmtId="179" formatCode="@&quot;　様&quot;"/>
  </numFmts>
  <fonts count="19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22"/>
      <color theme="1"/>
      <name val="ＭＳ Ｐゴシック"/>
      <family val="2"/>
      <scheme val="minor"/>
    </font>
    <font>
      <sz val="22"/>
      <color theme="1"/>
      <name val="ＭＳ Ｐゴシック"/>
      <family val="3"/>
      <charset val="128"/>
      <scheme val="minor"/>
    </font>
    <font>
      <sz val="28"/>
      <color theme="1"/>
      <name val="ＭＳ Ｐゴシック"/>
      <family val="2"/>
      <scheme val="minor"/>
    </font>
    <font>
      <b/>
      <sz val="9"/>
      <color indexed="81"/>
      <name val="ＭＳ Ｐゴシック"/>
      <family val="3"/>
      <charset val="128"/>
    </font>
    <font>
      <sz val="36"/>
      <color theme="1"/>
      <name val="ＭＳ Ｐゴシック"/>
      <family val="2"/>
      <scheme val="minor"/>
    </font>
    <font>
      <sz val="11"/>
      <color theme="0"/>
      <name val="ＭＳ Ｐゴシック"/>
      <family val="3"/>
      <charset val="128"/>
      <scheme val="minor"/>
    </font>
    <font>
      <sz val="9"/>
      <color theme="1"/>
      <name val="ＭＳ Ｐゴシック"/>
      <family val="2"/>
      <scheme val="minor"/>
    </font>
    <font>
      <b/>
      <sz val="11"/>
      <color theme="1"/>
      <name val="ＭＳ Ｐゴシック"/>
      <family val="3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sz val="20"/>
      <color theme="1"/>
      <name val="ＭＳ Ｐゴシック"/>
      <family val="2"/>
      <scheme val="minor"/>
    </font>
    <font>
      <u/>
      <sz val="11"/>
      <color theme="1"/>
      <name val="ＭＳ Ｐゴシック"/>
      <family val="2"/>
      <scheme val="minor"/>
    </font>
    <font>
      <b/>
      <u/>
      <sz val="11"/>
      <color theme="1"/>
      <name val="ＭＳ Ｐゴシック"/>
      <family val="3"/>
      <charset val="128"/>
      <scheme val="minor"/>
    </font>
    <font>
      <sz val="10"/>
      <color rgb="FFFF0000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  <font>
      <sz val="6"/>
      <name val="ＭＳ Ｐゴシック"/>
      <family val="2"/>
      <charset val="128"/>
      <scheme val="minor"/>
    </font>
    <font>
      <b/>
      <sz val="9"/>
      <color indexed="81"/>
      <name val="MS P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38" fontId="16" fillId="0" borderId="0" applyFont="0" applyFill="0" applyBorder="0" applyAlignment="0" applyProtection="0">
      <alignment vertical="center"/>
    </xf>
    <xf numFmtId="0" fontId="16" fillId="0" borderId="0"/>
  </cellStyleXfs>
  <cellXfs count="8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79" fontId="3" fillId="0" borderId="0" xfId="0" applyNumberFormat="1" applyFont="1" applyAlignment="1">
      <alignment horizontal="left" vertical="center"/>
    </xf>
    <xf numFmtId="5" fontId="7" fillId="0" borderId="0" xfId="0" applyNumberFormat="1" applyFont="1" applyAlignment="1">
      <alignment horizontal="center" vertical="center"/>
    </xf>
    <xf numFmtId="5" fontId="7" fillId="0" borderId="6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176" fontId="0" fillId="0" borderId="2" xfId="0" applyNumberFormat="1" applyBorder="1" applyAlignment="1">
      <alignment horizontal="right" vertical="center"/>
    </xf>
    <xf numFmtId="0" fontId="0" fillId="0" borderId="3" xfId="0" applyBorder="1" applyAlignment="1">
      <alignment horizontal="center" vertical="center"/>
    </xf>
    <xf numFmtId="5" fontId="0" fillId="0" borderId="4" xfId="0" applyNumberFormat="1" applyBorder="1" applyAlignment="1">
      <alignment horizontal="right" vertical="center"/>
    </xf>
    <xf numFmtId="177" fontId="0" fillId="0" borderId="2" xfId="0" applyNumberFormat="1" applyBorder="1" applyAlignment="1">
      <alignment horizontal="right" vertical="center"/>
    </xf>
    <xf numFmtId="0" fontId="0" fillId="0" borderId="1" xfId="0" applyBorder="1" applyAlignment="1" applyProtection="1">
      <alignment horizontal="center" vertical="center" shrinkToFit="1"/>
      <protection locked="0"/>
    </xf>
    <xf numFmtId="0" fontId="0" fillId="0" borderId="1" xfId="0" applyBorder="1" applyAlignment="1">
      <alignment horizontal="center" vertical="center" shrinkToFit="1"/>
    </xf>
    <xf numFmtId="0" fontId="0" fillId="2" borderId="7" xfId="0" applyFill="1" applyBorder="1" applyAlignment="1">
      <alignment vertical="center"/>
    </xf>
    <xf numFmtId="178" fontId="4" fillId="0" borderId="0" xfId="0" applyNumberFormat="1" applyFont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0" fillId="0" borderId="1" xfId="0" applyBorder="1" applyProtection="1">
      <protection locked="0"/>
    </xf>
    <xf numFmtId="0" fontId="0" fillId="0" borderId="0" xfId="0" applyProtection="1">
      <protection locked="0"/>
    </xf>
    <xf numFmtId="0" fontId="13" fillId="0" borderId="0" xfId="0" applyFont="1" applyAlignment="1">
      <alignment vertical="center"/>
    </xf>
    <xf numFmtId="0" fontId="9" fillId="0" borderId="0" xfId="0" applyFont="1" applyAlignment="1">
      <alignment horizontal="center" vertical="center" wrapText="1"/>
    </xf>
    <xf numFmtId="0" fontId="0" fillId="0" borderId="0" xfId="0" applyAlignment="1" applyProtection="1">
      <alignment horizontal="center" vertical="center" shrinkToFit="1"/>
      <protection locked="0"/>
    </xf>
    <xf numFmtId="0" fontId="15" fillId="0" borderId="0" xfId="0" applyFont="1" applyAlignment="1">
      <alignment vertical="center"/>
    </xf>
    <xf numFmtId="0" fontId="0" fillId="3" borderId="12" xfId="0" applyFill="1" applyBorder="1" applyAlignment="1">
      <alignment vertical="center" shrinkToFit="1"/>
    </xf>
    <xf numFmtId="0" fontId="0" fillId="3" borderId="0" xfId="0" applyFill="1" applyAlignment="1">
      <alignment vertical="center"/>
    </xf>
    <xf numFmtId="0" fontId="10" fillId="0" borderId="10" xfId="0" applyFont="1" applyBorder="1" applyAlignment="1">
      <alignment vertical="center"/>
    </xf>
    <xf numFmtId="0" fontId="0" fillId="0" borderId="0" xfId="0" applyAlignment="1">
      <alignment horizontal="left"/>
    </xf>
    <xf numFmtId="0" fontId="16" fillId="4" borderId="1" xfId="2" applyFill="1" applyBorder="1" applyAlignment="1">
      <alignment horizontal="center" vertical="center"/>
    </xf>
    <xf numFmtId="0" fontId="0" fillId="4" borderId="1" xfId="2" applyFont="1" applyFill="1" applyBorder="1" applyAlignment="1">
      <alignment horizontal="center" vertical="center"/>
    </xf>
    <xf numFmtId="0" fontId="16" fillId="3" borderId="0" xfId="2" applyFill="1" applyAlignment="1">
      <alignment horizontal="center" vertical="center"/>
    </xf>
    <xf numFmtId="0" fontId="16" fillId="4" borderId="1" xfId="2" applyFill="1" applyBorder="1" applyAlignment="1">
      <alignment horizontal="center"/>
    </xf>
    <xf numFmtId="0" fontId="2" fillId="5" borderId="1" xfId="2" applyFont="1" applyFill="1" applyBorder="1" applyAlignment="1" applyProtection="1">
      <alignment vertical="center" shrinkToFit="1"/>
      <protection locked="0"/>
    </xf>
    <xf numFmtId="0" fontId="0" fillId="5" borderId="1" xfId="2" applyFont="1" applyFill="1" applyBorder="1" applyAlignment="1" applyProtection="1">
      <alignment horizontal="center" vertical="center" shrinkToFit="1"/>
      <protection locked="0"/>
    </xf>
    <xf numFmtId="0" fontId="16" fillId="5" borderId="1" xfId="2" applyFill="1" applyBorder="1" applyAlignment="1" applyProtection="1">
      <alignment horizontal="center" vertical="center" shrinkToFit="1"/>
      <protection locked="0"/>
    </xf>
    <xf numFmtId="0" fontId="16" fillId="0" borderId="1" xfId="2" applyBorder="1" applyAlignment="1" applyProtection="1">
      <alignment shrinkToFit="1"/>
      <protection locked="0"/>
    </xf>
    <xf numFmtId="0" fontId="16" fillId="0" borderId="0" xfId="2" applyAlignment="1">
      <alignment shrinkToFit="1"/>
    </xf>
    <xf numFmtId="0" fontId="16" fillId="0" borderId="0" xfId="2"/>
    <xf numFmtId="38" fontId="16" fillId="0" borderId="0" xfId="1" applyFont="1" applyAlignment="1" applyProtection="1"/>
    <xf numFmtId="0" fontId="16" fillId="0" borderId="0" xfId="2" applyAlignment="1">
      <alignment horizontal="center" vertical="center"/>
    </xf>
    <xf numFmtId="38" fontId="16" fillId="0" borderId="0" xfId="1" applyFont="1" applyAlignment="1" applyProtection="1">
      <alignment horizontal="center" vertical="center"/>
    </xf>
    <xf numFmtId="0" fontId="0" fillId="0" borderId="0" xfId="2" applyFont="1"/>
    <xf numFmtId="0" fontId="16" fillId="5" borderId="1" xfId="2" applyFill="1" applyBorder="1" applyProtection="1">
      <protection locked="0"/>
    </xf>
    <xf numFmtId="0" fontId="8" fillId="5" borderId="1" xfId="2" applyFont="1" applyFill="1" applyBorder="1" applyAlignment="1" applyProtection="1">
      <alignment horizontal="right"/>
      <protection locked="0"/>
    </xf>
    <xf numFmtId="0" fontId="0" fillId="2" borderId="13" xfId="0" applyFill="1" applyBorder="1" applyAlignment="1">
      <alignment horizontal="center" vertical="center"/>
    </xf>
    <xf numFmtId="176" fontId="0" fillId="0" borderId="14" xfId="0" applyNumberFormat="1" applyBorder="1" applyAlignment="1">
      <alignment horizontal="right" vertical="center"/>
    </xf>
    <xf numFmtId="0" fontId="0" fillId="2" borderId="15" xfId="0" applyFill="1" applyBorder="1" applyAlignment="1">
      <alignment horizontal="center" vertical="center"/>
    </xf>
    <xf numFmtId="5" fontId="0" fillId="0" borderId="16" xfId="0" applyNumberForma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0" fillId="4" borderId="1" xfId="2" applyFont="1" applyFill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 shrinkToFit="1"/>
    </xf>
    <xf numFmtId="0" fontId="0" fillId="4" borderId="10" xfId="0" applyFill="1" applyBorder="1" applyAlignment="1">
      <alignment horizontal="center" vertical="center" shrinkToFit="1"/>
    </xf>
    <xf numFmtId="0" fontId="0" fillId="4" borderId="7" xfId="0" applyFill="1" applyBorder="1" applyAlignment="1">
      <alignment horizontal="center" vertical="center" shrinkToFit="1"/>
    </xf>
    <xf numFmtId="0" fontId="0" fillId="4" borderId="8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shrinkToFit="1"/>
    </xf>
    <xf numFmtId="0" fontId="5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8" fontId="11" fillId="0" borderId="0" xfId="0" applyNumberFormat="1" applyFont="1" applyAlignment="1">
      <alignment horizontal="left" vertical="center"/>
    </xf>
  </cellXfs>
  <cellStyles count="3">
    <cellStyle name="桁区切り" xfId="1" builtinId="6"/>
    <cellStyle name="標準" xfId="0" builtinId="0"/>
    <cellStyle name="標準 2" xfId="2" xr:uid="{7053C182-F5B9-4A1B-B44E-4F6B374EC4AC}"/>
  </cellStyles>
  <dxfs count="4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CCFF"/>
      <color rgb="FFFFCCCC"/>
      <color rgb="FFCCFFCC"/>
      <color rgb="FFCCFF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285751</xdr:colOff>
      <xdr:row>8</xdr:row>
      <xdr:rowOff>234461</xdr:rowOff>
    </xdr:from>
    <xdr:to>
      <xdr:col>3</xdr:col>
      <xdr:colOff>694593</xdr:colOff>
      <xdr:row>10</xdr:row>
      <xdr:rowOff>76933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D92FF068-9917-409E-A41D-7E7A63A3CC3C}"/>
            </a:ext>
          </a:extLst>
        </xdr:cNvPr>
        <xdr:cNvSpPr/>
      </xdr:nvSpPr>
      <xdr:spPr>
        <a:xfrm>
          <a:off x="285751" y="1820740"/>
          <a:ext cx="5442438" cy="604472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【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注意事項</a:t>
          </a:r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】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学校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名</a:t>
          </a: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は○○高校（例：湖陵高校）</a:t>
          </a:r>
          <a:r>
            <a:rPr kumimoji="0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と記載願います。</a:t>
          </a:r>
          <a:endParaRPr lang="ja-JP" altLang="ja-JP">
            <a:effectLst/>
          </a:endParaRPr>
        </a:p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2:D11"/>
  <sheetViews>
    <sheetView tabSelected="1" view="pageBreakPreview" topLeftCell="A2" zoomScale="122" zoomScaleNormal="100" zoomScaleSheetLayoutView="100" workbookViewId="0">
      <selection activeCell="B3" sqref="B3"/>
    </sheetView>
  </sheetViews>
  <sheetFormatPr defaultRowHeight="12.75"/>
  <cols>
    <col min="1" max="1" width="36.3984375" customWidth="1"/>
    <col min="2" max="3" width="17" customWidth="1"/>
    <col min="4" max="4" width="19.3984375" customWidth="1"/>
  </cols>
  <sheetData>
    <row r="2" spans="1:4" ht="29.25" customHeight="1">
      <c r="A2" s="29" t="s">
        <v>0</v>
      </c>
      <c r="B2" s="29" t="s">
        <v>2</v>
      </c>
      <c r="C2" s="29" t="s">
        <v>42</v>
      </c>
      <c r="D2" s="29" t="s">
        <v>24</v>
      </c>
    </row>
    <row r="3" spans="1:4" ht="29.25" customHeight="1">
      <c r="A3" s="28" t="s">
        <v>70</v>
      </c>
      <c r="B3" s="24"/>
      <c r="C3" s="24"/>
      <c r="D3" s="24"/>
    </row>
    <row r="4" spans="1:4" ht="29.25" customHeight="1">
      <c r="A4" s="34"/>
      <c r="B4" s="35"/>
      <c r="C4" s="35"/>
      <c r="D4" s="35"/>
    </row>
    <row r="5" spans="1:4" ht="24.75" customHeight="1">
      <c r="A5" s="36" t="s">
        <v>48</v>
      </c>
    </row>
    <row r="6" spans="1:4" ht="30" hidden="1" customHeight="1">
      <c r="A6" s="11" t="s">
        <v>43</v>
      </c>
      <c r="B6" s="11" t="s">
        <v>44</v>
      </c>
      <c r="C6" s="11" t="s">
        <v>45</v>
      </c>
      <c r="D6" s="11" t="s">
        <v>45</v>
      </c>
    </row>
    <row r="7" spans="1:4" ht="30" hidden="1" customHeight="1">
      <c r="A7" s="30" t="s">
        <v>46</v>
      </c>
      <c r="B7" s="31"/>
      <c r="C7" s="31"/>
      <c r="D7" s="31"/>
    </row>
    <row r="8" spans="1:4" ht="30" hidden="1" customHeight="1">
      <c r="A8" s="63" t="s">
        <v>47</v>
      </c>
      <c r="B8" s="63"/>
      <c r="C8" s="63"/>
      <c r="D8" s="63"/>
    </row>
    <row r="9" spans="1:4" ht="30" customHeight="1">
      <c r="A9" s="33"/>
      <c r="B9" s="8"/>
      <c r="C9" s="8"/>
      <c r="D9" s="8"/>
    </row>
    <row r="10" spans="1:4" ht="30" customHeight="1">
      <c r="A10" s="33"/>
      <c r="B10" s="32"/>
      <c r="C10" s="32"/>
      <c r="D10" s="32"/>
    </row>
    <row r="11" spans="1:4" ht="30" customHeight="1">
      <c r="A11" s="33"/>
      <c r="B11" s="32"/>
      <c r="C11" s="32"/>
      <c r="D11" s="32"/>
    </row>
  </sheetData>
  <sheetProtection sheet="1" objects="1" scenarios="1" selectLockedCells="1"/>
  <protectedRanges>
    <protectedRange sqref="A3:D4" name="範囲1"/>
  </protectedRanges>
  <mergeCells count="1">
    <mergeCell ref="A8:D8"/>
  </mergeCells>
  <phoneticPr fontId="1"/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C0E95-C85F-407E-86AD-F4271F8E79E9}">
  <sheetPr>
    <tabColor rgb="FFCCFFCC"/>
  </sheetPr>
  <dimension ref="A1:K47"/>
  <sheetViews>
    <sheetView view="pageBreakPreview" topLeftCell="A4" zoomScale="115" zoomScaleNormal="100" zoomScaleSheetLayoutView="115" workbookViewId="0">
      <selection activeCell="B5" sqref="B5"/>
    </sheetView>
  </sheetViews>
  <sheetFormatPr defaultColWidth="11.46484375" defaultRowHeight="19.5" customHeight="1"/>
  <cols>
    <col min="1" max="1" width="5.265625" style="10" customWidth="1"/>
    <col min="2" max="2" width="17.1328125" customWidth="1"/>
    <col min="3" max="4" width="17" customWidth="1"/>
    <col min="5" max="5" width="13.1328125" customWidth="1"/>
    <col min="6" max="6" width="17" style="9" customWidth="1"/>
    <col min="7" max="7" width="5.59765625" style="9" customWidth="1"/>
    <col min="8" max="10" width="11.46484375" customWidth="1"/>
  </cols>
  <sheetData>
    <row r="1" spans="1:11" s="8" customFormat="1" ht="19.5" customHeight="1">
      <c r="A1" s="64" t="s">
        <v>0</v>
      </c>
      <c r="B1" s="64"/>
      <c r="C1" s="65" t="str">
        <f>IF(団体名等入力!$A$3="","",団体名等入力!$A$3)</f>
        <v>釧路ジュニア選手権 (兼北海道選手権地区予選会)</v>
      </c>
      <c r="D1" s="66"/>
      <c r="E1" s="66"/>
      <c r="F1" s="67"/>
      <c r="G1" s="37"/>
      <c r="H1" s="38"/>
    </row>
    <row r="2" spans="1:11" ht="19.5" customHeight="1">
      <c r="A2" s="64" t="s">
        <v>2</v>
      </c>
      <c r="B2" s="64"/>
      <c r="C2" s="68" t="str">
        <f>IF(団体名等入力!B3="","",団体名等入力!B3)</f>
        <v/>
      </c>
      <c r="D2" s="69"/>
      <c r="E2" s="69"/>
      <c r="F2" s="70"/>
      <c r="G2" s="38"/>
    </row>
    <row r="3" spans="1:11" ht="19.5" customHeight="1">
      <c r="A3" s="39" t="s">
        <v>49</v>
      </c>
      <c r="B3" s="39"/>
      <c r="C3" s="40"/>
      <c r="D3" s="10"/>
      <c r="E3" s="10"/>
    </row>
    <row r="4" spans="1:11" s="9" customFormat="1" ht="33.75" customHeight="1">
      <c r="A4" s="41"/>
      <c r="B4" s="42" t="s">
        <v>63</v>
      </c>
      <c r="C4" s="41" t="s">
        <v>1</v>
      </c>
      <c r="D4" s="41" t="s">
        <v>2</v>
      </c>
      <c r="E4" s="62" t="s">
        <v>73</v>
      </c>
      <c r="F4" s="41" t="s">
        <v>50</v>
      </c>
      <c r="G4" s="43"/>
    </row>
    <row r="5" spans="1:11" ht="19.5" customHeight="1">
      <c r="A5" s="44" t="str">
        <f>IF(B5="","",1)</f>
        <v/>
      </c>
      <c r="B5" s="46"/>
      <c r="C5" s="45"/>
      <c r="D5" s="46"/>
      <c r="E5" s="46"/>
      <c r="F5" s="48"/>
      <c r="G5" s="49"/>
    </row>
    <row r="6" spans="1:11" ht="19.5" customHeight="1">
      <c r="A6" s="44" t="str">
        <f t="shared" ref="A6:A44" si="0">IF(B6="","",A5+1)</f>
        <v/>
      </c>
      <c r="B6" s="47"/>
      <c r="C6" s="45"/>
      <c r="D6" s="47"/>
      <c r="E6" s="46"/>
      <c r="F6" s="48"/>
      <c r="G6" s="49"/>
      <c r="H6" s="50"/>
      <c r="I6" s="50" t="s">
        <v>51</v>
      </c>
      <c r="J6" s="50"/>
      <c r="K6" s="50" t="s">
        <v>52</v>
      </c>
    </row>
    <row r="7" spans="1:11" ht="19.5" customHeight="1">
      <c r="A7" s="44" t="str">
        <f t="shared" si="0"/>
        <v/>
      </c>
      <c r="B7" s="47"/>
      <c r="C7" s="45"/>
      <c r="D7" s="47"/>
      <c r="E7" s="46"/>
      <c r="F7" s="48"/>
      <c r="G7" s="49"/>
      <c r="H7" s="50"/>
      <c r="I7" s="50">
        <f>SUM(I9:I20)</f>
        <v>0</v>
      </c>
      <c r="J7" s="50"/>
      <c r="K7" s="51">
        <f>SUM(K9:K20)</f>
        <v>0</v>
      </c>
    </row>
    <row r="8" spans="1:11" ht="19.5" customHeight="1">
      <c r="A8" s="44" t="str">
        <f t="shared" si="0"/>
        <v/>
      </c>
      <c r="B8" s="47"/>
      <c r="C8" s="45"/>
      <c r="D8" s="47"/>
      <c r="E8" s="46"/>
      <c r="F8" s="48"/>
      <c r="G8" s="49"/>
      <c r="H8" s="52" t="s">
        <v>53</v>
      </c>
      <c r="I8" s="52" t="s">
        <v>54</v>
      </c>
      <c r="J8" s="52" t="s">
        <v>55</v>
      </c>
      <c r="K8" s="53" t="s">
        <v>56</v>
      </c>
    </row>
    <row r="9" spans="1:11" ht="19.5" customHeight="1">
      <c r="A9" s="44" t="str">
        <f t="shared" si="0"/>
        <v/>
      </c>
      <c r="B9" s="47"/>
      <c r="C9" s="45"/>
      <c r="D9" s="47"/>
      <c r="E9" s="46"/>
      <c r="F9" s="48"/>
      <c r="G9" s="49"/>
      <c r="H9" s="50" t="s">
        <v>57</v>
      </c>
      <c r="I9" s="50">
        <f t="shared" ref="I9:I17" si="1">COUNTIF(A:B,H9)</f>
        <v>0</v>
      </c>
      <c r="J9" s="51">
        <v>700</v>
      </c>
      <c r="K9" s="51">
        <f>I9*J9</f>
        <v>0</v>
      </c>
    </row>
    <row r="10" spans="1:11" ht="19.5" customHeight="1">
      <c r="A10" s="44" t="str">
        <f t="shared" si="0"/>
        <v/>
      </c>
      <c r="B10" s="47"/>
      <c r="C10" s="45"/>
      <c r="D10" s="47"/>
      <c r="E10" s="46"/>
      <c r="F10" s="48"/>
      <c r="G10" s="49"/>
      <c r="H10" s="50" t="s">
        <v>58</v>
      </c>
      <c r="I10" s="50">
        <f t="shared" si="1"/>
        <v>0</v>
      </c>
      <c r="J10" s="51">
        <v>700</v>
      </c>
      <c r="K10" s="51">
        <f>I10*J10</f>
        <v>0</v>
      </c>
    </row>
    <row r="11" spans="1:11" ht="19.5" customHeight="1">
      <c r="A11" s="44" t="str">
        <f t="shared" si="0"/>
        <v/>
      </c>
      <c r="B11" s="47"/>
      <c r="C11" s="45"/>
      <c r="D11" s="47"/>
      <c r="E11" s="46"/>
      <c r="F11" s="48"/>
      <c r="G11" s="49"/>
      <c r="H11" s="50" t="s">
        <v>59</v>
      </c>
      <c r="I11" s="50">
        <f t="shared" si="1"/>
        <v>0</v>
      </c>
      <c r="J11">
        <v>500</v>
      </c>
      <c r="K11" s="51">
        <f t="shared" ref="K11:K17" si="2">I11*J11</f>
        <v>0</v>
      </c>
    </row>
    <row r="12" spans="1:11" ht="19.5" customHeight="1">
      <c r="A12" s="44" t="str">
        <f t="shared" si="0"/>
        <v/>
      </c>
      <c r="B12" s="47"/>
      <c r="C12" s="45"/>
      <c r="D12" s="47"/>
      <c r="E12" s="46"/>
      <c r="F12" s="48"/>
      <c r="G12" s="49"/>
      <c r="H12" s="54" t="s">
        <v>60</v>
      </c>
      <c r="I12" s="50">
        <f t="shared" si="1"/>
        <v>0</v>
      </c>
      <c r="J12">
        <v>500</v>
      </c>
      <c r="K12" s="51">
        <f t="shared" si="2"/>
        <v>0</v>
      </c>
    </row>
    <row r="13" spans="1:11" ht="19.5" customHeight="1">
      <c r="A13" s="44" t="str">
        <f t="shared" si="0"/>
        <v/>
      </c>
      <c r="B13" s="47"/>
      <c r="C13" s="45"/>
      <c r="D13" s="47"/>
      <c r="E13" s="46"/>
      <c r="F13" s="48"/>
      <c r="G13" s="49"/>
      <c r="H13" s="54" t="s">
        <v>61</v>
      </c>
      <c r="I13" s="50">
        <f t="shared" si="1"/>
        <v>0</v>
      </c>
      <c r="J13">
        <v>500</v>
      </c>
      <c r="K13" s="51">
        <f t="shared" si="2"/>
        <v>0</v>
      </c>
    </row>
    <row r="14" spans="1:11" ht="19.5" customHeight="1">
      <c r="A14" s="44" t="str">
        <f t="shared" si="0"/>
        <v/>
      </c>
      <c r="B14" s="47"/>
      <c r="C14" s="45"/>
      <c r="D14" s="47"/>
      <c r="E14" s="46"/>
      <c r="F14" s="48"/>
      <c r="G14" s="49"/>
      <c r="H14" s="54" t="s">
        <v>62</v>
      </c>
      <c r="I14" s="50">
        <f t="shared" si="1"/>
        <v>0</v>
      </c>
      <c r="J14">
        <v>500</v>
      </c>
      <c r="K14" s="51">
        <f t="shared" si="2"/>
        <v>0</v>
      </c>
    </row>
    <row r="15" spans="1:11" ht="19.5" customHeight="1">
      <c r="A15" s="44" t="str">
        <f t="shared" si="0"/>
        <v/>
      </c>
      <c r="B15" s="47"/>
      <c r="C15" s="45"/>
      <c r="D15" s="47"/>
      <c r="E15" s="46"/>
      <c r="F15" s="48"/>
      <c r="G15" s="49"/>
      <c r="H15" s="54" t="s">
        <v>68</v>
      </c>
      <c r="I15" s="50">
        <f t="shared" si="1"/>
        <v>0</v>
      </c>
      <c r="J15">
        <v>500</v>
      </c>
      <c r="K15" s="51">
        <f t="shared" si="2"/>
        <v>0</v>
      </c>
    </row>
    <row r="16" spans="1:11" ht="19.5" customHeight="1">
      <c r="A16" s="44" t="str">
        <f t="shared" si="0"/>
        <v/>
      </c>
      <c r="B16" s="47"/>
      <c r="C16" s="45"/>
      <c r="D16" s="47"/>
      <c r="E16" s="46"/>
      <c r="F16" s="48"/>
      <c r="G16" s="49"/>
      <c r="H16" s="54" t="s">
        <v>69</v>
      </c>
      <c r="I16" s="50">
        <f t="shared" si="1"/>
        <v>0</v>
      </c>
      <c r="J16">
        <v>500</v>
      </c>
      <c r="K16" s="51">
        <f t="shared" si="2"/>
        <v>0</v>
      </c>
    </row>
    <row r="17" spans="1:11" ht="19.5" customHeight="1">
      <c r="A17" s="44" t="str">
        <f t="shared" si="0"/>
        <v/>
      </c>
      <c r="B17" s="47"/>
      <c r="C17" s="45"/>
      <c r="D17" s="47"/>
      <c r="E17" s="46"/>
      <c r="F17" s="48"/>
      <c r="G17" s="49"/>
      <c r="H17" s="54" t="s">
        <v>71</v>
      </c>
      <c r="I17" s="50">
        <f t="shared" si="1"/>
        <v>0</v>
      </c>
      <c r="J17">
        <v>500</v>
      </c>
      <c r="K17" s="51">
        <f t="shared" si="2"/>
        <v>0</v>
      </c>
    </row>
    <row r="18" spans="1:11" ht="19.5" customHeight="1">
      <c r="A18" s="44" t="str">
        <f t="shared" si="0"/>
        <v/>
      </c>
      <c r="B18" s="47"/>
      <c r="C18" s="45"/>
      <c r="D18" s="47"/>
      <c r="E18" s="46"/>
      <c r="F18" s="48"/>
      <c r="G18" s="49"/>
      <c r="H18" s="54" t="s">
        <v>72</v>
      </c>
      <c r="I18" s="50">
        <f t="shared" ref="I18" si="3">COUNTIF(A:B,H18)</f>
        <v>0</v>
      </c>
      <c r="J18">
        <v>500</v>
      </c>
      <c r="K18" s="51">
        <f t="shared" ref="K18" si="4">I18*J18</f>
        <v>0</v>
      </c>
    </row>
    <row r="19" spans="1:11" ht="19.5" customHeight="1">
      <c r="A19" s="44" t="str">
        <f t="shared" si="0"/>
        <v/>
      </c>
      <c r="B19" s="47"/>
      <c r="C19" s="45"/>
      <c r="D19" s="47"/>
      <c r="E19" s="46"/>
      <c r="F19" s="48"/>
      <c r="G19" s="49"/>
      <c r="H19" s="54"/>
      <c r="I19" s="50"/>
      <c r="K19" s="51"/>
    </row>
    <row r="20" spans="1:11" ht="19.5" customHeight="1">
      <c r="A20" s="44" t="str">
        <f t="shared" si="0"/>
        <v/>
      </c>
      <c r="B20" s="47"/>
      <c r="C20" s="45"/>
      <c r="D20" s="47"/>
      <c r="E20" s="46"/>
      <c r="F20" s="48"/>
      <c r="G20" s="49"/>
      <c r="H20" s="54"/>
      <c r="I20" s="50"/>
      <c r="K20" s="51"/>
    </row>
    <row r="21" spans="1:11" ht="19.5" customHeight="1">
      <c r="A21" s="44" t="str">
        <f t="shared" si="0"/>
        <v/>
      </c>
      <c r="B21" s="47"/>
      <c r="C21" s="45"/>
      <c r="D21" s="47"/>
      <c r="E21" s="46"/>
      <c r="F21" s="48"/>
      <c r="G21" s="49"/>
      <c r="H21" s="50"/>
    </row>
    <row r="22" spans="1:11" ht="19.5" customHeight="1">
      <c r="A22" s="44" t="str">
        <f t="shared" si="0"/>
        <v/>
      </c>
      <c r="B22" s="47"/>
      <c r="C22" s="45"/>
      <c r="D22" s="47"/>
      <c r="E22" s="46"/>
      <c r="F22" s="48"/>
      <c r="G22" s="49"/>
      <c r="H22" s="50"/>
    </row>
    <row r="23" spans="1:11" ht="19.5" customHeight="1">
      <c r="A23" s="44" t="str">
        <f t="shared" si="0"/>
        <v/>
      </c>
      <c r="B23" s="47"/>
      <c r="C23" s="45"/>
      <c r="D23" s="47"/>
      <c r="E23" s="46"/>
      <c r="F23" s="48"/>
      <c r="G23" s="49"/>
      <c r="H23" s="50"/>
    </row>
    <row r="24" spans="1:11" ht="19.5" customHeight="1">
      <c r="A24" s="44" t="str">
        <f t="shared" si="0"/>
        <v/>
      </c>
      <c r="B24" s="47"/>
      <c r="C24" s="45"/>
      <c r="D24" s="47"/>
      <c r="E24" s="46"/>
      <c r="F24" s="48"/>
      <c r="G24" s="49"/>
      <c r="H24" s="50"/>
    </row>
    <row r="25" spans="1:11" ht="19.5" customHeight="1">
      <c r="A25" s="44" t="str">
        <f t="shared" si="0"/>
        <v/>
      </c>
      <c r="B25" s="47"/>
      <c r="C25" s="55"/>
      <c r="D25" s="55"/>
      <c r="E25" s="46"/>
      <c r="F25" s="48"/>
      <c r="G25" s="49"/>
      <c r="H25" s="50"/>
    </row>
    <row r="26" spans="1:11" ht="19.5" customHeight="1">
      <c r="A26" s="44" t="str">
        <f t="shared" si="0"/>
        <v/>
      </c>
      <c r="B26" s="47"/>
      <c r="C26" s="55"/>
      <c r="D26" s="56"/>
      <c r="E26" s="46"/>
      <c r="F26" s="48"/>
      <c r="G26" s="49"/>
      <c r="H26" s="50"/>
    </row>
    <row r="27" spans="1:11" ht="19.5" customHeight="1">
      <c r="A27" s="44" t="str">
        <f t="shared" si="0"/>
        <v/>
      </c>
      <c r="B27" s="47"/>
      <c r="C27" s="55"/>
      <c r="D27" s="55"/>
      <c r="E27" s="46"/>
      <c r="F27" s="48"/>
      <c r="G27" s="49"/>
      <c r="H27" s="50"/>
    </row>
    <row r="28" spans="1:11" ht="19.5" customHeight="1">
      <c r="A28" s="44" t="str">
        <f t="shared" si="0"/>
        <v/>
      </c>
      <c r="B28" s="47"/>
      <c r="C28" s="55"/>
      <c r="D28" s="55"/>
      <c r="E28" s="46"/>
      <c r="F28" s="48"/>
      <c r="G28" s="49"/>
      <c r="H28" s="50"/>
    </row>
    <row r="29" spans="1:11" ht="19.5" customHeight="1">
      <c r="A29" s="44" t="str">
        <f t="shared" si="0"/>
        <v/>
      </c>
      <c r="B29" s="47"/>
      <c r="C29" s="55"/>
      <c r="D29" s="55"/>
      <c r="E29" s="46"/>
      <c r="F29" s="48"/>
      <c r="G29" s="49"/>
      <c r="H29" s="50"/>
    </row>
    <row r="30" spans="1:11" ht="19.5" customHeight="1">
      <c r="A30" s="44" t="str">
        <f t="shared" si="0"/>
        <v/>
      </c>
      <c r="B30" s="47"/>
      <c r="C30" s="55"/>
      <c r="D30" s="55"/>
      <c r="E30" s="46"/>
      <c r="F30" s="48"/>
      <c r="G30" s="49"/>
      <c r="H30" s="50"/>
    </row>
    <row r="31" spans="1:11" ht="19.5" customHeight="1">
      <c r="A31" s="44" t="str">
        <f t="shared" si="0"/>
        <v/>
      </c>
      <c r="B31" s="47"/>
      <c r="C31" s="55"/>
      <c r="D31" s="55"/>
      <c r="E31" s="46"/>
      <c r="F31" s="48"/>
      <c r="G31" s="49"/>
      <c r="H31" s="50"/>
    </row>
    <row r="32" spans="1:11" ht="19.5" customHeight="1">
      <c r="A32" s="44" t="str">
        <f t="shared" si="0"/>
        <v/>
      </c>
      <c r="B32" s="47"/>
      <c r="C32" s="55"/>
      <c r="D32" s="55"/>
      <c r="E32" s="46"/>
      <c r="F32" s="48"/>
      <c r="G32" s="49"/>
      <c r="H32" s="50"/>
    </row>
    <row r="33" spans="1:8" ht="19.5" customHeight="1">
      <c r="A33" s="44" t="str">
        <f t="shared" si="0"/>
        <v/>
      </c>
      <c r="B33" s="47"/>
      <c r="C33" s="55"/>
      <c r="D33" s="55"/>
      <c r="E33" s="46"/>
      <c r="F33" s="48"/>
      <c r="G33" s="49"/>
      <c r="H33" s="50"/>
    </row>
    <row r="34" spans="1:8" ht="19.5" customHeight="1">
      <c r="A34" s="44" t="str">
        <f t="shared" si="0"/>
        <v/>
      </c>
      <c r="B34" s="47"/>
      <c r="C34" s="55"/>
      <c r="D34" s="55"/>
      <c r="E34" s="46"/>
      <c r="F34" s="48"/>
      <c r="G34" s="49"/>
      <c r="H34" s="50"/>
    </row>
    <row r="35" spans="1:8" ht="19.5" customHeight="1">
      <c r="A35" s="44" t="str">
        <f t="shared" si="0"/>
        <v/>
      </c>
      <c r="B35" s="47"/>
      <c r="C35" s="55"/>
      <c r="D35" s="55"/>
      <c r="E35" s="46"/>
      <c r="F35" s="48"/>
      <c r="G35" s="49"/>
      <c r="H35" s="50"/>
    </row>
    <row r="36" spans="1:8" ht="19.5" customHeight="1">
      <c r="A36" s="44" t="str">
        <f t="shared" si="0"/>
        <v/>
      </c>
      <c r="B36" s="47"/>
      <c r="C36" s="55"/>
      <c r="D36" s="55"/>
      <c r="E36" s="46"/>
      <c r="F36" s="48"/>
      <c r="G36" s="49"/>
      <c r="H36" s="50"/>
    </row>
    <row r="37" spans="1:8" ht="19.5" customHeight="1">
      <c r="A37" s="44" t="str">
        <f t="shared" si="0"/>
        <v/>
      </c>
      <c r="B37" s="47"/>
      <c r="C37" s="55"/>
      <c r="D37" s="55"/>
      <c r="E37" s="46"/>
      <c r="F37" s="48"/>
      <c r="G37" s="49"/>
      <c r="H37" s="50"/>
    </row>
    <row r="38" spans="1:8" ht="19.5" customHeight="1">
      <c r="A38" s="44" t="str">
        <f t="shared" si="0"/>
        <v/>
      </c>
      <c r="B38" s="47"/>
      <c r="C38" s="55"/>
      <c r="D38" s="55"/>
      <c r="E38" s="46"/>
      <c r="F38" s="48"/>
      <c r="G38" s="49"/>
      <c r="H38" s="50"/>
    </row>
    <row r="39" spans="1:8" ht="19.5" customHeight="1">
      <c r="A39" s="44" t="str">
        <f t="shared" si="0"/>
        <v/>
      </c>
      <c r="B39" s="47"/>
      <c r="C39" s="55"/>
      <c r="D39" s="55"/>
      <c r="E39" s="46"/>
      <c r="F39" s="48"/>
      <c r="G39" s="49"/>
      <c r="H39" s="50"/>
    </row>
    <row r="40" spans="1:8" ht="19.5" customHeight="1">
      <c r="A40" s="44" t="str">
        <f t="shared" si="0"/>
        <v/>
      </c>
      <c r="B40" s="47"/>
      <c r="C40" s="55"/>
      <c r="D40" s="55"/>
      <c r="E40" s="46"/>
      <c r="F40" s="48"/>
      <c r="G40" s="49"/>
      <c r="H40" s="50"/>
    </row>
    <row r="41" spans="1:8" ht="19.5" customHeight="1">
      <c r="A41" s="44" t="str">
        <f t="shared" si="0"/>
        <v/>
      </c>
      <c r="B41" s="47"/>
      <c r="C41" s="55"/>
      <c r="D41" s="55"/>
      <c r="E41" s="46"/>
      <c r="F41" s="48"/>
      <c r="G41" s="49"/>
      <c r="H41" s="50"/>
    </row>
    <row r="42" spans="1:8" ht="19.5" customHeight="1">
      <c r="A42" s="44" t="str">
        <f t="shared" si="0"/>
        <v/>
      </c>
      <c r="B42" s="47"/>
      <c r="C42" s="55"/>
      <c r="D42" s="55"/>
      <c r="E42" s="46"/>
      <c r="F42" s="48"/>
      <c r="G42" s="49"/>
      <c r="H42" s="50"/>
    </row>
    <row r="43" spans="1:8" ht="19.5" customHeight="1">
      <c r="A43" s="44" t="str">
        <f t="shared" si="0"/>
        <v/>
      </c>
      <c r="B43" s="47"/>
      <c r="C43" s="55"/>
      <c r="D43" s="55"/>
      <c r="E43" s="46"/>
      <c r="F43" s="48"/>
      <c r="G43" s="49"/>
      <c r="H43" s="50"/>
    </row>
    <row r="44" spans="1:8" ht="19.5" customHeight="1">
      <c r="A44" s="44" t="str">
        <f t="shared" si="0"/>
        <v/>
      </c>
      <c r="B44" s="47"/>
      <c r="C44" s="55"/>
      <c r="D44" s="55"/>
      <c r="E44" s="46"/>
      <c r="F44" s="48"/>
      <c r="G44" s="49"/>
    </row>
    <row r="45" spans="1:8" ht="19.5" customHeight="1" thickBot="1"/>
    <row r="46" spans="1:8" ht="19.5" customHeight="1" thickBot="1">
      <c r="B46" s="57" t="s">
        <v>7</v>
      </c>
      <c r="C46" s="58">
        <f>I7</f>
        <v>0</v>
      </c>
    </row>
    <row r="47" spans="1:8" ht="19.5" customHeight="1" thickBot="1">
      <c r="B47" s="59" t="s">
        <v>3</v>
      </c>
      <c r="C47" s="60">
        <f>K7</f>
        <v>0</v>
      </c>
    </row>
  </sheetData>
  <sheetProtection sheet="1" selectLockedCells="1"/>
  <mergeCells count="4">
    <mergeCell ref="A1:B1"/>
    <mergeCell ref="C1:F1"/>
    <mergeCell ref="A2:B2"/>
    <mergeCell ref="C2:F2"/>
  </mergeCells>
  <phoneticPr fontId="1"/>
  <conditionalFormatting sqref="B4:B44">
    <cfRule type="containsText" dxfId="3" priority="2" operator="containsText" text="女子">
      <formula>NOT(ISERROR(SEARCH("女子",B4)))</formula>
    </cfRule>
    <cfRule type="containsText" dxfId="2" priority="3" operator="containsText" text="男子">
      <formula>NOT(ISERROR(SEARCH("男子",B4)))</formula>
    </cfRule>
  </conditionalFormatting>
  <conditionalFormatting sqref="B5:B44 C5:G5 C6:E44">
    <cfRule type="notContainsBlanks" dxfId="1" priority="4">
      <formula>LEN(TRIM(B5))&gt;0</formula>
    </cfRule>
  </conditionalFormatting>
  <conditionalFormatting sqref="D5:E5 E6:E44">
    <cfRule type="colorScale" priority="1">
      <colorScale>
        <cfvo type="min"/>
        <cfvo type="max"/>
        <color rgb="FFFF7128"/>
        <color rgb="FFFFEF9C"/>
      </colorScale>
    </cfRule>
  </conditionalFormatting>
  <conditionalFormatting sqref="F6:G18 F20:G44">
    <cfRule type="notContainsBlanks" dxfId="0" priority="5">
      <formula>LEN(TRIM(F6))&gt;0</formula>
    </cfRule>
  </conditionalFormatting>
  <dataValidations count="2">
    <dataValidation type="list" allowBlank="1" showInputMessage="1" showErrorMessage="1" sqref="B5:B44" xr:uid="{9F2A4FBE-9BA0-462A-B839-5F211A139719}">
      <formula1>$H$17:$H$19</formula1>
    </dataValidation>
    <dataValidation type="list" allowBlank="1" showInputMessage="1" showErrorMessage="1" sqref="E5:E44" xr:uid="{FF5829C7-230B-401B-B3F3-4DDADB57DEE1}">
      <formula1>"○,×,　,"</formula1>
    </dataValidation>
  </dataValidations>
  <pageMargins left="0.7" right="0.7" top="0.75" bottom="0.75" header="0.3" footer="0.3"/>
  <pageSetup paperSize="9" scale="85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1"/>
  </sheetPr>
  <dimension ref="A1:J27"/>
  <sheetViews>
    <sheetView view="pageBreakPreview" zoomScale="115" zoomScaleNormal="100" zoomScaleSheetLayoutView="115" workbookViewId="0">
      <selection activeCell="E8" sqref="E8"/>
    </sheetView>
  </sheetViews>
  <sheetFormatPr defaultColWidth="11.46484375" defaultRowHeight="19.5" customHeight="1"/>
  <cols>
    <col min="1" max="1" width="4.265625" style="10" customWidth="1"/>
    <col min="2" max="2" width="9" style="10" bestFit="1" customWidth="1"/>
    <col min="3" max="3" width="13.265625" customWidth="1"/>
    <col min="4" max="5" width="15.59765625" customWidth="1"/>
    <col min="6" max="6" width="15.59765625" style="9" customWidth="1"/>
    <col min="7" max="7" width="15.59765625" customWidth="1"/>
    <col min="8" max="8" width="11.46484375" customWidth="1"/>
    <col min="9" max="9" width="5.265625" customWidth="1"/>
    <col min="10" max="10" width="6.46484375" customWidth="1"/>
  </cols>
  <sheetData>
    <row r="1" spans="1:10" s="8" customFormat="1" ht="19.5" customHeight="1" thickBot="1">
      <c r="A1" s="71" t="s">
        <v>0</v>
      </c>
      <c r="B1" s="71"/>
      <c r="C1" s="71"/>
      <c r="D1" s="71" t="str">
        <f>団体名等入力!A3</f>
        <v>釧路ジュニア選手権 (兼北海道選手権地区予選会)</v>
      </c>
      <c r="E1" s="71"/>
      <c r="F1" s="71"/>
    </row>
    <row r="2" spans="1:10" ht="19.5" customHeight="1" thickBot="1">
      <c r="A2" s="72" t="s">
        <v>2</v>
      </c>
      <c r="B2" s="73"/>
      <c r="C2" s="74"/>
      <c r="D2" s="74" t="str">
        <f>IF(団体名等入力!C3="","",団体名等入力!C3)</f>
        <v/>
      </c>
      <c r="E2" s="74"/>
      <c r="F2" s="75"/>
    </row>
    <row r="3" spans="1:10" ht="19.5" customHeight="1">
      <c r="A3" s="9"/>
      <c r="B3" s="9"/>
      <c r="C3" s="9"/>
      <c r="D3" s="10"/>
      <c r="E3" s="10"/>
    </row>
    <row r="4" spans="1:10" s="9" customFormat="1" ht="19.5" customHeight="1">
      <c r="A4" s="11"/>
      <c r="B4" s="11" t="s">
        <v>20</v>
      </c>
      <c r="C4" s="11" t="s">
        <v>10</v>
      </c>
      <c r="D4" s="11" t="s">
        <v>8</v>
      </c>
      <c r="E4" s="11" t="s">
        <v>9</v>
      </c>
      <c r="F4" s="11" t="s">
        <v>11</v>
      </c>
      <c r="G4" s="11" t="s">
        <v>12</v>
      </c>
      <c r="H4" s="11" t="s">
        <v>14</v>
      </c>
    </row>
    <row r="5" spans="1:10" ht="19.5" customHeight="1">
      <c r="A5" s="13">
        <v>1</v>
      </c>
      <c r="B5" s="14" t="s">
        <v>16</v>
      </c>
      <c r="C5" s="14" t="s">
        <v>39</v>
      </c>
      <c r="D5" s="15" t="s" ph="1">
        <v>25</v>
      </c>
      <c r="E5" s="16" t="s" ph="1">
        <v>26</v>
      </c>
      <c r="F5" s="15" t="s" ph="1">
        <v>30</v>
      </c>
      <c r="G5" s="15" t="s" ph="1">
        <v>31</v>
      </c>
      <c r="H5" s="14" t="s">
        <v>15</v>
      </c>
      <c r="I5">
        <f t="shared" ref="I5:I24" si="0">IF(OR(B5="一般",B5="大学"),2100,IF(OR(B5="高校",B5="中学",B5="小学"),1500,0))</f>
        <v>1500</v>
      </c>
      <c r="J5">
        <f>IF(H5="登録",I5,I5*1)</f>
        <v>1500</v>
      </c>
    </row>
    <row r="6" spans="1:10" ht="19.5" customHeight="1">
      <c r="A6" s="13">
        <v>2</v>
      </c>
      <c r="B6" s="14" t="s">
        <v>16</v>
      </c>
      <c r="C6" s="14" t="s">
        <v>40</v>
      </c>
      <c r="D6" s="16" t="s" ph="1">
        <v>32</v>
      </c>
      <c r="E6" s="16" t="s" ph="1">
        <v>33</v>
      </c>
      <c r="F6" s="16" t="s" ph="1">
        <v>34</v>
      </c>
      <c r="G6" s="16" t="s" ph="1">
        <v>23</v>
      </c>
      <c r="H6" s="14" t="s">
        <v>15</v>
      </c>
      <c r="I6">
        <f t="shared" si="0"/>
        <v>1500</v>
      </c>
      <c r="J6">
        <f t="shared" ref="J6:J24" si="1">IF(H6="登録",I6,I6*1)</f>
        <v>1500</v>
      </c>
    </row>
    <row r="7" spans="1:10" ht="19.5" customHeight="1">
      <c r="A7" s="13">
        <v>3</v>
      </c>
      <c r="B7" s="14" t="s">
        <v>16</v>
      </c>
      <c r="C7" s="14" t="s">
        <v>41</v>
      </c>
      <c r="D7" s="16" t="s" ph="1">
        <v>21</v>
      </c>
      <c r="E7" s="16" t="s" ph="1">
        <v>22</v>
      </c>
      <c r="F7" s="16" t="s" ph="1">
        <v>23</v>
      </c>
      <c r="G7" s="16" ph="1"/>
      <c r="H7" s="14" t="s">
        <v>15</v>
      </c>
      <c r="I7">
        <f t="shared" si="0"/>
        <v>1500</v>
      </c>
      <c r="J7">
        <f t="shared" si="1"/>
        <v>1500</v>
      </c>
    </row>
    <row r="8" spans="1:10" ht="19.5" customHeight="1">
      <c r="A8" s="13">
        <v>4</v>
      </c>
      <c r="B8" s="14"/>
      <c r="C8" s="14"/>
      <c r="D8" s="16" ph="1"/>
      <c r="E8" s="16" ph="1"/>
      <c r="F8" s="16" ph="1"/>
      <c r="G8" s="16" ph="1"/>
      <c r="H8" s="14" t="s">
        <v>15</v>
      </c>
      <c r="I8">
        <f t="shared" si="0"/>
        <v>0</v>
      </c>
      <c r="J8">
        <f t="shared" si="1"/>
        <v>0</v>
      </c>
    </row>
    <row r="9" spans="1:10" ht="19.5" customHeight="1">
      <c r="A9" s="13">
        <v>5</v>
      </c>
      <c r="B9" s="14"/>
      <c r="C9" s="14"/>
      <c r="D9" s="16" ph="1"/>
      <c r="E9" s="14"/>
      <c r="F9" s="14"/>
      <c r="G9" s="17"/>
      <c r="H9" s="14" t="s">
        <v>15</v>
      </c>
      <c r="I9">
        <f t="shared" si="0"/>
        <v>0</v>
      </c>
      <c r="J9">
        <f t="shared" si="1"/>
        <v>0</v>
      </c>
    </row>
    <row r="10" spans="1:10" ht="19.5" customHeight="1">
      <c r="A10" s="13">
        <v>6</v>
      </c>
      <c r="B10" s="14"/>
      <c r="C10" s="14"/>
      <c r="D10" s="17" ph="1"/>
      <c r="E10" s="18"/>
      <c r="F10" s="14"/>
      <c r="G10" s="17"/>
      <c r="H10" s="14"/>
      <c r="I10">
        <f t="shared" si="0"/>
        <v>0</v>
      </c>
      <c r="J10">
        <f t="shared" si="1"/>
        <v>0</v>
      </c>
    </row>
    <row r="11" spans="1:10" ht="19.5" customHeight="1">
      <c r="A11" s="13">
        <v>7</v>
      </c>
      <c r="B11" s="14"/>
      <c r="C11" s="14"/>
      <c r="D11" s="17" ph="1"/>
      <c r="E11" s="18"/>
      <c r="F11" s="14"/>
      <c r="G11" s="17"/>
      <c r="H11" s="14"/>
      <c r="I11">
        <f t="shared" si="0"/>
        <v>0</v>
      </c>
      <c r="J11">
        <f t="shared" si="1"/>
        <v>0</v>
      </c>
    </row>
    <row r="12" spans="1:10" ht="19.5" customHeight="1">
      <c r="A12" s="13">
        <v>8</v>
      </c>
      <c r="B12" s="14"/>
      <c r="C12" s="14"/>
      <c r="D12" s="17" ph="1"/>
      <c r="E12" s="18"/>
      <c r="F12" s="14"/>
      <c r="G12" s="17"/>
      <c r="H12" s="14"/>
      <c r="I12">
        <f t="shared" si="0"/>
        <v>0</v>
      </c>
      <c r="J12">
        <f t="shared" si="1"/>
        <v>0</v>
      </c>
    </row>
    <row r="13" spans="1:10" ht="19.5" customHeight="1">
      <c r="A13" s="13">
        <v>9</v>
      </c>
      <c r="B13" s="14"/>
      <c r="C13" s="14"/>
      <c r="D13" s="17" ph="1"/>
      <c r="E13" s="18"/>
      <c r="F13" s="14"/>
      <c r="G13" s="17"/>
      <c r="H13" s="14"/>
      <c r="I13">
        <f t="shared" si="0"/>
        <v>0</v>
      </c>
      <c r="J13">
        <f t="shared" si="1"/>
        <v>0</v>
      </c>
    </row>
    <row r="14" spans="1:10" ht="19.5" customHeight="1">
      <c r="A14" s="13">
        <v>10</v>
      </c>
      <c r="B14" s="14"/>
      <c r="C14" s="14"/>
      <c r="D14" s="17" ph="1"/>
      <c r="E14" s="18"/>
      <c r="F14" s="14"/>
      <c r="G14" s="17"/>
      <c r="H14" s="14"/>
      <c r="I14">
        <f t="shared" si="0"/>
        <v>0</v>
      </c>
      <c r="J14">
        <f t="shared" si="1"/>
        <v>0</v>
      </c>
    </row>
    <row r="15" spans="1:10" ht="19.5" hidden="1" customHeight="1">
      <c r="A15" s="13">
        <v>11</v>
      </c>
      <c r="B15" s="14"/>
      <c r="C15" s="14"/>
      <c r="D15" s="17" ph="1"/>
      <c r="E15" s="18"/>
      <c r="F15" s="14"/>
      <c r="G15" s="17"/>
      <c r="H15" s="14"/>
      <c r="I15">
        <f t="shared" si="0"/>
        <v>0</v>
      </c>
      <c r="J15">
        <f t="shared" si="1"/>
        <v>0</v>
      </c>
    </row>
    <row r="16" spans="1:10" ht="19.5" hidden="1" customHeight="1">
      <c r="A16" s="13">
        <v>12</v>
      </c>
      <c r="B16" s="14"/>
      <c r="C16" s="14"/>
      <c r="D16" s="17" ph="1"/>
      <c r="E16" s="18"/>
      <c r="F16" s="14"/>
      <c r="G16" s="17"/>
      <c r="H16" s="14"/>
      <c r="I16">
        <f t="shared" si="0"/>
        <v>0</v>
      </c>
      <c r="J16">
        <f t="shared" si="1"/>
        <v>0</v>
      </c>
    </row>
    <row r="17" spans="1:10" ht="19.5" hidden="1" customHeight="1">
      <c r="A17" s="13">
        <v>13</v>
      </c>
      <c r="B17" s="14"/>
      <c r="C17" s="14"/>
      <c r="D17" s="17" ph="1"/>
      <c r="E17" s="18"/>
      <c r="F17" s="14"/>
      <c r="G17" s="17"/>
      <c r="H17" s="14"/>
      <c r="I17">
        <f t="shared" si="0"/>
        <v>0</v>
      </c>
      <c r="J17">
        <f t="shared" si="1"/>
        <v>0</v>
      </c>
    </row>
    <row r="18" spans="1:10" ht="19.5" hidden="1" customHeight="1">
      <c r="A18" s="13">
        <v>14</v>
      </c>
      <c r="B18" s="14"/>
      <c r="C18" s="14"/>
      <c r="D18" s="17"/>
      <c r="E18" s="18"/>
      <c r="F18" s="14"/>
      <c r="G18" s="17"/>
      <c r="H18" s="14"/>
      <c r="I18">
        <f t="shared" si="0"/>
        <v>0</v>
      </c>
      <c r="J18">
        <f t="shared" si="1"/>
        <v>0</v>
      </c>
    </row>
    <row r="19" spans="1:10" ht="19.5" hidden="1" customHeight="1">
      <c r="A19" s="13">
        <v>15</v>
      </c>
      <c r="B19" s="14"/>
      <c r="C19" s="14"/>
      <c r="D19" s="17"/>
      <c r="E19" s="18"/>
      <c r="F19" s="14"/>
      <c r="G19" s="17"/>
      <c r="H19" s="14"/>
      <c r="I19">
        <f t="shared" si="0"/>
        <v>0</v>
      </c>
      <c r="J19">
        <f t="shared" si="1"/>
        <v>0</v>
      </c>
    </row>
    <row r="20" spans="1:10" ht="19.5" hidden="1" customHeight="1">
      <c r="A20" s="13">
        <v>16</v>
      </c>
      <c r="B20" s="14"/>
      <c r="C20" s="14"/>
      <c r="D20" s="17"/>
      <c r="E20" s="18"/>
      <c r="F20" s="14"/>
      <c r="G20" s="17"/>
      <c r="H20" s="14"/>
      <c r="I20">
        <f t="shared" si="0"/>
        <v>0</v>
      </c>
      <c r="J20">
        <f t="shared" si="1"/>
        <v>0</v>
      </c>
    </row>
    <row r="21" spans="1:10" ht="19.5" hidden="1" customHeight="1">
      <c r="A21" s="13">
        <v>17</v>
      </c>
      <c r="B21" s="14"/>
      <c r="C21" s="14"/>
      <c r="D21" s="17"/>
      <c r="E21" s="18"/>
      <c r="F21" s="14"/>
      <c r="G21" s="17"/>
      <c r="H21" s="14"/>
      <c r="I21">
        <f t="shared" si="0"/>
        <v>0</v>
      </c>
      <c r="J21">
        <f t="shared" si="1"/>
        <v>0</v>
      </c>
    </row>
    <row r="22" spans="1:10" ht="19.5" hidden="1" customHeight="1">
      <c r="A22" s="13">
        <v>18</v>
      </c>
      <c r="B22" s="14"/>
      <c r="C22" s="14"/>
      <c r="D22" s="17"/>
      <c r="E22" s="18"/>
      <c r="F22" s="14"/>
      <c r="G22" s="17"/>
      <c r="H22" s="14"/>
      <c r="I22">
        <f t="shared" si="0"/>
        <v>0</v>
      </c>
      <c r="J22">
        <f t="shared" si="1"/>
        <v>0</v>
      </c>
    </row>
    <row r="23" spans="1:10" ht="19.5" hidden="1" customHeight="1">
      <c r="A23" s="13">
        <v>19</v>
      </c>
      <c r="B23" s="14"/>
      <c r="C23" s="14"/>
      <c r="D23" s="17"/>
      <c r="E23" s="18"/>
      <c r="F23" s="14"/>
      <c r="G23" s="17"/>
      <c r="H23" s="14"/>
      <c r="I23">
        <f t="shared" si="0"/>
        <v>0</v>
      </c>
      <c r="J23">
        <f t="shared" si="1"/>
        <v>0</v>
      </c>
    </row>
    <row r="24" spans="1:10" ht="19.5" hidden="1" customHeight="1">
      <c r="A24" s="13">
        <v>20</v>
      </c>
      <c r="B24" s="14"/>
      <c r="C24" s="14"/>
      <c r="D24" s="17"/>
      <c r="E24" s="18"/>
      <c r="F24" s="14"/>
      <c r="G24" s="17"/>
      <c r="H24" s="14"/>
      <c r="I24">
        <f t="shared" si="0"/>
        <v>0</v>
      </c>
      <c r="J24">
        <f t="shared" si="1"/>
        <v>0</v>
      </c>
    </row>
    <row r="26" spans="1:10" ht="19.5" customHeight="1" thickBot="1">
      <c r="F26" s="19" t="s">
        <v>13</v>
      </c>
      <c r="G26" s="23">
        <f>COUNTA(C5:C24)</f>
        <v>3</v>
      </c>
    </row>
    <row r="27" spans="1:10" ht="19.5" customHeight="1" thickBot="1">
      <c r="F27" s="21" t="s">
        <v>3</v>
      </c>
      <c r="G27" s="22">
        <f>J27</f>
        <v>4500</v>
      </c>
      <c r="J27">
        <f>SUM(J5:J26)</f>
        <v>4500</v>
      </c>
    </row>
  </sheetData>
  <sheetProtection selectLockedCells="1"/>
  <mergeCells count="4">
    <mergeCell ref="A1:C1"/>
    <mergeCell ref="D1:F1"/>
    <mergeCell ref="A2:C2"/>
    <mergeCell ref="D2:F2"/>
  </mergeCells>
  <phoneticPr fontId="1"/>
  <dataValidations count="2">
    <dataValidation type="list" allowBlank="1" showInputMessage="1" showErrorMessage="1" sqref="B5:B24" xr:uid="{00000000-0002-0000-0700-000000000000}">
      <formula1>"一般,大学,高校,中学,小学,　,"</formula1>
    </dataValidation>
    <dataValidation type="list" allowBlank="1" showInputMessage="1" showErrorMessage="1" sqref="H5:H24" xr:uid="{00000000-0002-0000-0700-000001000000}">
      <formula1>"登録,未登録,　,"</formula1>
    </dataValidation>
  </dataValidations>
  <pageMargins left="0.7" right="0.7" top="0.75" bottom="0.75" header="0.3" footer="0.3"/>
  <pageSetup paperSize="9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1"/>
  </sheetPr>
  <dimension ref="A1:H47"/>
  <sheetViews>
    <sheetView view="pageBreakPreview" zoomScale="115" zoomScaleNormal="100" zoomScaleSheetLayoutView="115" workbookViewId="0">
      <selection activeCell="D7" sqref="D7"/>
    </sheetView>
  </sheetViews>
  <sheetFormatPr defaultColWidth="11.46484375" defaultRowHeight="19.5" customHeight="1"/>
  <cols>
    <col min="1" max="1" width="4.265625" style="10" customWidth="1"/>
    <col min="2" max="2" width="13.265625" customWidth="1"/>
    <col min="3" max="4" width="23.59765625" customWidth="1"/>
    <col min="5" max="5" width="13.59765625" style="9" customWidth="1"/>
    <col min="6" max="8" width="11.46484375" hidden="1" customWidth="1"/>
  </cols>
  <sheetData>
    <row r="1" spans="1:8" s="8" customFormat="1" ht="19.5" customHeight="1">
      <c r="A1" s="76" t="s">
        <v>0</v>
      </c>
      <c r="B1" s="76"/>
      <c r="C1" s="76" t="str">
        <f>団体名等入力!A3</f>
        <v>釧路ジュニア選手権 (兼北海道選手権地区予選会)</v>
      </c>
      <c r="D1" s="76"/>
      <c r="E1" s="76"/>
      <c r="F1" s="26"/>
    </row>
    <row r="2" spans="1:8" ht="19.5" customHeight="1">
      <c r="A2" s="76" t="s">
        <v>2</v>
      </c>
      <c r="B2" s="76"/>
      <c r="C2" s="76" t="str">
        <f>IF(団体名等入力!B3="","",団体名等入力!B3)</f>
        <v/>
      </c>
      <c r="D2" s="76"/>
      <c r="E2" s="76"/>
      <c r="F2" s="26"/>
    </row>
    <row r="3" spans="1:8" ht="19.5" customHeight="1">
      <c r="A3" s="9"/>
      <c r="B3" s="9"/>
      <c r="C3" s="10"/>
      <c r="D3" s="10"/>
    </row>
    <row r="4" spans="1:8" s="9" customFormat="1" ht="33.75" customHeight="1">
      <c r="A4" s="11"/>
      <c r="B4" s="11" t="s">
        <v>18</v>
      </c>
      <c r="C4" s="11" t="s">
        <v>1</v>
      </c>
      <c r="D4" s="11" t="s">
        <v>2</v>
      </c>
      <c r="E4" s="12" t="s">
        <v>19</v>
      </c>
      <c r="F4" s="11" t="s">
        <v>14</v>
      </c>
    </row>
    <row r="5" spans="1:8" ht="19.5" customHeight="1">
      <c r="A5" s="13">
        <v>1</v>
      </c>
      <c r="B5" s="14" t="s">
        <v>5</v>
      </c>
      <c r="C5" s="15" t="s" ph="1">
        <v>25</v>
      </c>
      <c r="D5" s="14" t="s">
        <v>4</v>
      </c>
      <c r="E5" s="25" t="s">
        <v>35</v>
      </c>
      <c r="F5" s="14" t="s">
        <v>15</v>
      </c>
      <c r="G5">
        <f>IF(OR(B5="一般",B5="大学"),700,IF(OR(B5="高校",B5="中学",B5="小学"),500,0))</f>
        <v>700</v>
      </c>
      <c r="H5">
        <f>IF(F5="登録",G5,G5*1)</f>
        <v>700</v>
      </c>
    </row>
    <row r="6" spans="1:8" ht="19.5" customHeight="1">
      <c r="A6" s="13">
        <v>2</v>
      </c>
      <c r="B6" s="14" t="s">
        <v>5</v>
      </c>
      <c r="C6" s="16" t="s" ph="1">
        <v>26</v>
      </c>
      <c r="D6" s="14" t="s">
        <v>4</v>
      </c>
      <c r="E6" s="25" t="s">
        <v>36</v>
      </c>
      <c r="F6" s="14" t="s">
        <v>15</v>
      </c>
      <c r="G6">
        <f t="shared" ref="G6:G44" si="0">IF(OR(B6="一般",B6="大学"),700,IF(OR(B6="高校",B6="中学",B6="小学"),500,0))</f>
        <v>700</v>
      </c>
      <c r="H6">
        <f t="shared" ref="H6:H45" si="1">IF(F6="登録",G6,G6*1)</f>
        <v>700</v>
      </c>
    </row>
    <row r="7" spans="1:8" ht="19.5" customHeight="1">
      <c r="A7" s="13">
        <v>3</v>
      </c>
      <c r="B7" s="14" t="s">
        <v>5</v>
      </c>
      <c r="C7" s="16" t="s" ph="1">
        <v>27</v>
      </c>
      <c r="D7" s="14" t="s">
        <v>4</v>
      </c>
      <c r="E7" s="25" t="s">
        <v>38</v>
      </c>
      <c r="F7" s="14" t="s">
        <v>15</v>
      </c>
      <c r="G7">
        <f t="shared" si="0"/>
        <v>700</v>
      </c>
      <c r="H7">
        <f t="shared" si="1"/>
        <v>700</v>
      </c>
    </row>
    <row r="8" spans="1:8" ht="19.5" customHeight="1">
      <c r="A8" s="13">
        <v>4</v>
      </c>
      <c r="B8" s="14" t="s">
        <v>6</v>
      </c>
      <c r="C8" s="16" t="s" ph="1">
        <v>28</v>
      </c>
      <c r="D8" s="14" t="s">
        <v>4</v>
      </c>
      <c r="E8" s="25" t="s">
        <v>37</v>
      </c>
      <c r="F8" s="14" t="s">
        <v>15</v>
      </c>
      <c r="G8">
        <f t="shared" si="0"/>
        <v>500</v>
      </c>
      <c r="H8">
        <f t="shared" si="1"/>
        <v>500</v>
      </c>
    </row>
    <row r="9" spans="1:8" ht="19.5" customHeight="1">
      <c r="A9" s="13">
        <v>5</v>
      </c>
      <c r="B9" s="14" t="s">
        <v>16</v>
      </c>
      <c r="C9" s="16" t="s" ph="1">
        <v>29</v>
      </c>
      <c r="D9" s="14" t="s">
        <v>17</v>
      </c>
      <c r="E9" s="25" t="s">
        <v>16</v>
      </c>
      <c r="F9" s="14" t="s">
        <v>15</v>
      </c>
      <c r="G9">
        <f t="shared" si="0"/>
        <v>500</v>
      </c>
      <c r="H9">
        <f t="shared" si="1"/>
        <v>500</v>
      </c>
    </row>
    <row r="10" spans="1:8" ht="19.5" customHeight="1">
      <c r="A10" s="13">
        <v>6</v>
      </c>
      <c r="B10" s="14"/>
      <c r="C10" s="16" ph="1"/>
      <c r="D10" s="14"/>
      <c r="E10" s="25" t="s">
        <v>15</v>
      </c>
      <c r="F10" s="14"/>
      <c r="G10">
        <f t="shared" si="0"/>
        <v>0</v>
      </c>
      <c r="H10">
        <f t="shared" si="1"/>
        <v>0</v>
      </c>
    </row>
    <row r="11" spans="1:8" ht="19.5" customHeight="1">
      <c r="A11" s="13">
        <v>7</v>
      </c>
      <c r="B11" s="14"/>
      <c r="C11" s="16" ph="1"/>
      <c r="D11" s="14"/>
      <c r="E11" s="25" t="s">
        <v>15</v>
      </c>
      <c r="F11" s="14"/>
      <c r="G11">
        <f t="shared" si="0"/>
        <v>0</v>
      </c>
      <c r="H11">
        <f t="shared" si="1"/>
        <v>0</v>
      </c>
    </row>
    <row r="12" spans="1:8" ht="19.5" customHeight="1">
      <c r="A12" s="13">
        <v>8</v>
      </c>
      <c r="B12" s="14"/>
      <c r="C12" s="16" ph="1"/>
      <c r="D12" s="14"/>
      <c r="E12" s="25" t="s">
        <v>15</v>
      </c>
      <c r="F12" s="14"/>
      <c r="G12">
        <f t="shared" si="0"/>
        <v>0</v>
      </c>
      <c r="H12">
        <f t="shared" si="1"/>
        <v>0</v>
      </c>
    </row>
    <row r="13" spans="1:8" ht="19.5" customHeight="1">
      <c r="A13" s="13">
        <v>9</v>
      </c>
      <c r="B13" s="14"/>
      <c r="C13" s="16" ph="1"/>
      <c r="D13" s="14"/>
      <c r="E13" s="25" t="s">
        <v>15</v>
      </c>
      <c r="F13" s="14"/>
      <c r="G13">
        <f t="shared" si="0"/>
        <v>0</v>
      </c>
      <c r="H13">
        <f t="shared" si="1"/>
        <v>0</v>
      </c>
    </row>
    <row r="14" spans="1:8" ht="19.5" customHeight="1">
      <c r="A14" s="13">
        <v>10</v>
      </c>
      <c r="B14" s="14"/>
      <c r="C14" s="16" ph="1"/>
      <c r="D14" s="14"/>
      <c r="E14" s="25" t="s">
        <v>15</v>
      </c>
      <c r="F14" s="14"/>
      <c r="G14">
        <f t="shared" si="0"/>
        <v>0</v>
      </c>
      <c r="H14">
        <f t="shared" si="1"/>
        <v>0</v>
      </c>
    </row>
    <row r="15" spans="1:8" ht="19.5" hidden="1" customHeight="1">
      <c r="A15" s="13">
        <v>11</v>
      </c>
      <c r="B15" s="14"/>
      <c r="C15" s="16" ph="1"/>
      <c r="D15" s="14"/>
      <c r="E15" s="25" t="s">
        <v>15</v>
      </c>
      <c r="F15" s="14"/>
      <c r="G15">
        <f t="shared" si="0"/>
        <v>0</v>
      </c>
      <c r="H15">
        <f t="shared" si="1"/>
        <v>0</v>
      </c>
    </row>
    <row r="16" spans="1:8" ht="19.5" hidden="1" customHeight="1">
      <c r="A16" s="13">
        <v>12</v>
      </c>
      <c r="B16" s="14"/>
      <c r="C16" s="16" ph="1"/>
      <c r="D16" s="14"/>
      <c r="E16" s="25" t="s">
        <v>15</v>
      </c>
      <c r="F16" s="14"/>
      <c r="G16">
        <f t="shared" si="0"/>
        <v>0</v>
      </c>
      <c r="H16">
        <f t="shared" si="1"/>
        <v>0</v>
      </c>
    </row>
    <row r="17" spans="1:8" ht="19.5" hidden="1" customHeight="1">
      <c r="A17" s="13">
        <v>13</v>
      </c>
      <c r="B17" s="14"/>
      <c r="C17" s="16" ph="1"/>
      <c r="D17" s="14"/>
      <c r="E17" s="25" t="s">
        <v>15</v>
      </c>
      <c r="F17" s="14"/>
      <c r="G17">
        <f t="shared" si="0"/>
        <v>0</v>
      </c>
      <c r="H17">
        <f t="shared" si="1"/>
        <v>0</v>
      </c>
    </row>
    <row r="18" spans="1:8" ht="19.5" hidden="1" customHeight="1">
      <c r="A18" s="13">
        <v>14</v>
      </c>
      <c r="B18" s="14"/>
      <c r="C18" s="16" ph="1"/>
      <c r="D18" s="14"/>
      <c r="E18" s="25" t="s">
        <v>15</v>
      </c>
      <c r="F18" s="14"/>
      <c r="G18">
        <f t="shared" si="0"/>
        <v>0</v>
      </c>
      <c r="H18">
        <f t="shared" si="1"/>
        <v>0</v>
      </c>
    </row>
    <row r="19" spans="1:8" ht="19.5" hidden="1" customHeight="1">
      <c r="A19" s="13">
        <v>15</v>
      </c>
      <c r="B19" s="14"/>
      <c r="C19" s="16" ph="1"/>
      <c r="D19" s="14"/>
      <c r="E19" s="25" t="s">
        <v>15</v>
      </c>
      <c r="F19" s="14"/>
      <c r="G19">
        <f t="shared" si="0"/>
        <v>0</v>
      </c>
      <c r="H19">
        <f t="shared" si="1"/>
        <v>0</v>
      </c>
    </row>
    <row r="20" spans="1:8" ht="19.5" hidden="1" customHeight="1">
      <c r="A20" s="13">
        <v>16</v>
      </c>
      <c r="B20" s="14"/>
      <c r="C20" s="17"/>
      <c r="D20" s="18"/>
      <c r="E20" s="25" t="s">
        <v>15</v>
      </c>
      <c r="F20" s="14"/>
      <c r="G20">
        <f t="shared" si="0"/>
        <v>0</v>
      </c>
      <c r="H20">
        <f t="shared" si="1"/>
        <v>0</v>
      </c>
    </row>
    <row r="21" spans="1:8" ht="19.5" hidden="1" customHeight="1">
      <c r="A21" s="13">
        <v>17</v>
      </c>
      <c r="B21" s="14" t="s">
        <v>15</v>
      </c>
      <c r="C21" s="17"/>
      <c r="D21" s="18"/>
      <c r="E21" s="25" t="s">
        <v>15</v>
      </c>
      <c r="F21" s="14"/>
      <c r="G21">
        <f t="shared" si="0"/>
        <v>0</v>
      </c>
      <c r="H21">
        <f t="shared" si="1"/>
        <v>0</v>
      </c>
    </row>
    <row r="22" spans="1:8" ht="19.5" hidden="1" customHeight="1">
      <c r="A22" s="13">
        <v>18</v>
      </c>
      <c r="B22" s="14" t="s">
        <v>15</v>
      </c>
      <c r="C22" s="17"/>
      <c r="D22" s="18"/>
      <c r="E22" s="25" t="s">
        <v>15</v>
      </c>
      <c r="F22" s="14"/>
      <c r="G22">
        <f t="shared" si="0"/>
        <v>0</v>
      </c>
      <c r="H22">
        <f t="shared" si="1"/>
        <v>0</v>
      </c>
    </row>
    <row r="23" spans="1:8" ht="19.5" hidden="1" customHeight="1">
      <c r="A23" s="13">
        <v>19</v>
      </c>
      <c r="B23" s="14" t="s">
        <v>15</v>
      </c>
      <c r="C23" s="17"/>
      <c r="D23" s="18"/>
      <c r="E23" s="25" t="s">
        <v>15</v>
      </c>
      <c r="F23" s="14"/>
      <c r="G23">
        <f t="shared" si="0"/>
        <v>0</v>
      </c>
      <c r="H23">
        <f t="shared" si="1"/>
        <v>0</v>
      </c>
    </row>
    <row r="24" spans="1:8" ht="19.5" hidden="1" customHeight="1">
      <c r="A24" s="13">
        <v>20</v>
      </c>
      <c r="B24" s="14"/>
      <c r="C24" s="16" ph="1"/>
      <c r="D24" s="14"/>
      <c r="E24" s="25" t="s">
        <v>15</v>
      </c>
      <c r="F24" s="14"/>
      <c r="G24">
        <f t="shared" si="0"/>
        <v>0</v>
      </c>
      <c r="H24">
        <f t="shared" si="1"/>
        <v>0</v>
      </c>
    </row>
    <row r="25" spans="1:8" ht="19.5" hidden="1" customHeight="1">
      <c r="A25" s="13">
        <v>21</v>
      </c>
      <c r="B25" s="14"/>
      <c r="C25" s="16" ph="1"/>
      <c r="D25" s="14"/>
      <c r="E25" s="25" t="s">
        <v>15</v>
      </c>
      <c r="F25" s="14"/>
      <c r="G25">
        <f t="shared" si="0"/>
        <v>0</v>
      </c>
      <c r="H25">
        <f t="shared" si="1"/>
        <v>0</v>
      </c>
    </row>
    <row r="26" spans="1:8" ht="19.5" hidden="1" customHeight="1">
      <c r="A26" s="13">
        <v>22</v>
      </c>
      <c r="B26" s="14"/>
      <c r="C26" s="16" ph="1"/>
      <c r="D26" s="14"/>
      <c r="E26" s="25" t="s">
        <v>15</v>
      </c>
      <c r="F26" s="14"/>
      <c r="G26">
        <f t="shared" si="0"/>
        <v>0</v>
      </c>
      <c r="H26">
        <f t="shared" si="1"/>
        <v>0</v>
      </c>
    </row>
    <row r="27" spans="1:8" ht="19.5" hidden="1" customHeight="1">
      <c r="A27" s="13">
        <v>23</v>
      </c>
      <c r="B27" s="14"/>
      <c r="C27" s="16" ph="1"/>
      <c r="D27" s="14"/>
      <c r="E27" s="25" t="s">
        <v>15</v>
      </c>
      <c r="F27" s="14"/>
      <c r="G27">
        <f t="shared" si="0"/>
        <v>0</v>
      </c>
      <c r="H27">
        <f t="shared" si="1"/>
        <v>0</v>
      </c>
    </row>
    <row r="28" spans="1:8" ht="19.5" hidden="1" customHeight="1">
      <c r="A28" s="13">
        <v>24</v>
      </c>
      <c r="B28" s="14"/>
      <c r="C28" s="16" ph="1"/>
      <c r="D28" s="14"/>
      <c r="E28" s="25" t="s">
        <v>15</v>
      </c>
      <c r="F28" s="14"/>
      <c r="G28">
        <f t="shared" si="0"/>
        <v>0</v>
      </c>
      <c r="H28">
        <f t="shared" si="1"/>
        <v>0</v>
      </c>
    </row>
    <row r="29" spans="1:8" ht="19.5" hidden="1" customHeight="1">
      <c r="A29" s="13">
        <v>25</v>
      </c>
      <c r="B29" s="14"/>
      <c r="C29" s="16" ph="1"/>
      <c r="D29" s="14"/>
      <c r="E29" s="25" t="s">
        <v>15</v>
      </c>
      <c r="F29" s="14"/>
      <c r="G29">
        <f t="shared" si="0"/>
        <v>0</v>
      </c>
      <c r="H29">
        <f t="shared" si="1"/>
        <v>0</v>
      </c>
    </row>
    <row r="30" spans="1:8" ht="19.5" hidden="1" customHeight="1">
      <c r="A30" s="13">
        <v>26</v>
      </c>
      <c r="B30" s="14"/>
      <c r="C30" s="16" ph="1"/>
      <c r="D30" s="14"/>
      <c r="E30" s="25" t="s">
        <v>15</v>
      </c>
      <c r="F30" s="14"/>
      <c r="G30">
        <f t="shared" si="0"/>
        <v>0</v>
      </c>
      <c r="H30">
        <f t="shared" si="1"/>
        <v>0</v>
      </c>
    </row>
    <row r="31" spans="1:8" ht="19.5" hidden="1" customHeight="1">
      <c r="A31" s="13">
        <v>27</v>
      </c>
      <c r="B31" s="14"/>
      <c r="C31" s="16" ph="1"/>
      <c r="D31" s="14"/>
      <c r="E31" s="25" t="s">
        <v>15</v>
      </c>
      <c r="F31" s="14"/>
      <c r="G31">
        <f t="shared" si="0"/>
        <v>0</v>
      </c>
      <c r="H31">
        <f t="shared" si="1"/>
        <v>0</v>
      </c>
    </row>
    <row r="32" spans="1:8" ht="19.5" hidden="1" customHeight="1">
      <c r="A32" s="13">
        <v>28</v>
      </c>
      <c r="B32" s="14"/>
      <c r="C32" s="16" ph="1"/>
      <c r="D32" s="14"/>
      <c r="E32" s="25" t="s">
        <v>15</v>
      </c>
      <c r="F32" s="14"/>
      <c r="G32">
        <f t="shared" si="0"/>
        <v>0</v>
      </c>
      <c r="H32">
        <f t="shared" si="1"/>
        <v>0</v>
      </c>
    </row>
    <row r="33" spans="1:8" ht="19.5" hidden="1" customHeight="1">
      <c r="A33" s="13">
        <v>29</v>
      </c>
      <c r="B33" s="14"/>
      <c r="C33" s="16" ph="1"/>
      <c r="D33" s="14"/>
      <c r="E33" s="25" t="s">
        <v>15</v>
      </c>
      <c r="F33" s="14"/>
      <c r="G33">
        <f t="shared" si="0"/>
        <v>0</v>
      </c>
      <c r="H33">
        <f t="shared" si="1"/>
        <v>0</v>
      </c>
    </row>
    <row r="34" spans="1:8" ht="19.5" hidden="1" customHeight="1">
      <c r="A34" s="13">
        <v>30</v>
      </c>
      <c r="B34" s="14"/>
      <c r="C34" s="16" ph="1"/>
      <c r="D34" s="14"/>
      <c r="E34" s="25" t="s">
        <v>15</v>
      </c>
      <c r="F34" s="14"/>
      <c r="G34">
        <f t="shared" si="0"/>
        <v>0</v>
      </c>
      <c r="H34">
        <f t="shared" si="1"/>
        <v>0</v>
      </c>
    </row>
    <row r="35" spans="1:8" ht="19.5" hidden="1" customHeight="1">
      <c r="A35" s="13">
        <v>31</v>
      </c>
      <c r="B35" s="14"/>
      <c r="C35" s="16" ph="1"/>
      <c r="D35" s="14"/>
      <c r="E35" s="25" t="s">
        <v>15</v>
      </c>
      <c r="F35" s="14"/>
      <c r="G35">
        <f t="shared" si="0"/>
        <v>0</v>
      </c>
      <c r="H35">
        <f t="shared" si="1"/>
        <v>0</v>
      </c>
    </row>
    <row r="36" spans="1:8" ht="19.5" hidden="1" customHeight="1">
      <c r="A36" s="13">
        <v>32</v>
      </c>
      <c r="B36" s="14"/>
      <c r="C36" s="16" ph="1"/>
      <c r="D36" s="14"/>
      <c r="E36" s="25" t="s">
        <v>15</v>
      </c>
      <c r="F36" s="14"/>
      <c r="G36">
        <f t="shared" si="0"/>
        <v>0</v>
      </c>
      <c r="H36">
        <f t="shared" si="1"/>
        <v>0</v>
      </c>
    </row>
    <row r="37" spans="1:8" ht="19.5" hidden="1" customHeight="1">
      <c r="A37" s="13">
        <v>33</v>
      </c>
      <c r="B37" s="14"/>
      <c r="C37" s="16" ph="1"/>
      <c r="D37" s="14"/>
      <c r="E37" s="25" t="s">
        <v>15</v>
      </c>
      <c r="F37" s="14"/>
      <c r="G37">
        <f t="shared" si="0"/>
        <v>0</v>
      </c>
      <c r="H37">
        <f t="shared" si="1"/>
        <v>0</v>
      </c>
    </row>
    <row r="38" spans="1:8" ht="19.5" hidden="1" customHeight="1">
      <c r="A38" s="13">
        <v>34</v>
      </c>
      <c r="B38" s="14"/>
      <c r="C38" s="16" ph="1"/>
      <c r="D38" s="14"/>
      <c r="E38" s="25" t="s">
        <v>15</v>
      </c>
      <c r="F38" s="14"/>
      <c r="G38">
        <f t="shared" si="0"/>
        <v>0</v>
      </c>
      <c r="H38">
        <f t="shared" si="1"/>
        <v>0</v>
      </c>
    </row>
    <row r="39" spans="1:8" ht="19.5" hidden="1" customHeight="1">
      <c r="A39" s="13">
        <v>35</v>
      </c>
      <c r="B39" s="14"/>
      <c r="C39" s="16" ph="1"/>
      <c r="D39" s="14"/>
      <c r="E39" s="25" t="s">
        <v>15</v>
      </c>
      <c r="F39" s="14"/>
      <c r="G39">
        <f t="shared" si="0"/>
        <v>0</v>
      </c>
      <c r="H39">
        <f t="shared" si="1"/>
        <v>0</v>
      </c>
    </row>
    <row r="40" spans="1:8" ht="19.5" hidden="1" customHeight="1">
      <c r="A40" s="13">
        <v>36</v>
      </c>
      <c r="B40" s="14"/>
      <c r="C40" s="17"/>
      <c r="D40" s="18"/>
      <c r="E40" s="25" t="s">
        <v>15</v>
      </c>
      <c r="F40" s="14"/>
      <c r="G40">
        <f t="shared" si="0"/>
        <v>0</v>
      </c>
      <c r="H40">
        <f t="shared" si="1"/>
        <v>0</v>
      </c>
    </row>
    <row r="41" spans="1:8" ht="19.5" hidden="1" customHeight="1">
      <c r="A41" s="13">
        <v>37</v>
      </c>
      <c r="B41" s="14" t="s">
        <v>15</v>
      </c>
      <c r="C41" s="17"/>
      <c r="D41" s="18"/>
      <c r="E41" s="25" t="s">
        <v>15</v>
      </c>
      <c r="F41" s="14"/>
      <c r="G41">
        <f t="shared" si="0"/>
        <v>0</v>
      </c>
      <c r="H41">
        <f t="shared" si="1"/>
        <v>0</v>
      </c>
    </row>
    <row r="42" spans="1:8" ht="19.5" hidden="1" customHeight="1">
      <c r="A42" s="13">
        <v>38</v>
      </c>
      <c r="B42" s="14" t="s">
        <v>15</v>
      </c>
      <c r="C42" s="17"/>
      <c r="D42" s="18"/>
      <c r="E42" s="25" t="s">
        <v>15</v>
      </c>
      <c r="F42" s="14"/>
      <c r="G42">
        <f t="shared" si="0"/>
        <v>0</v>
      </c>
      <c r="H42">
        <f t="shared" si="1"/>
        <v>0</v>
      </c>
    </row>
    <row r="43" spans="1:8" ht="19.5" hidden="1" customHeight="1">
      <c r="A43" s="13">
        <v>39</v>
      </c>
      <c r="B43" s="14" t="s">
        <v>15</v>
      </c>
      <c r="C43" s="17"/>
      <c r="D43" s="18"/>
      <c r="E43" s="25" t="s">
        <v>15</v>
      </c>
      <c r="F43" s="14"/>
      <c r="G43">
        <f t="shared" si="0"/>
        <v>0</v>
      </c>
      <c r="H43">
        <f t="shared" si="1"/>
        <v>0</v>
      </c>
    </row>
    <row r="44" spans="1:8" ht="19.5" hidden="1" customHeight="1">
      <c r="A44" s="13">
        <v>40</v>
      </c>
      <c r="B44" s="14" t="s">
        <v>15</v>
      </c>
      <c r="C44" s="17"/>
      <c r="D44" s="18"/>
      <c r="E44" s="25" t="s">
        <v>15</v>
      </c>
      <c r="F44" s="14"/>
      <c r="G44">
        <f t="shared" si="0"/>
        <v>0</v>
      </c>
      <c r="H44">
        <f t="shared" si="1"/>
        <v>0</v>
      </c>
    </row>
    <row r="45" spans="1:8" ht="19.5" customHeight="1">
      <c r="G45">
        <f>SUM(G5:G44)</f>
        <v>3100</v>
      </c>
      <c r="H45">
        <f t="shared" si="1"/>
        <v>3100</v>
      </c>
    </row>
    <row r="46" spans="1:8" ht="19.5" customHeight="1" thickBot="1">
      <c r="D46" s="19" t="s">
        <v>7</v>
      </c>
      <c r="E46" s="20">
        <f>COUNTA(C5:C44)</f>
        <v>5</v>
      </c>
    </row>
    <row r="47" spans="1:8" ht="19.5" customHeight="1" thickBot="1">
      <c r="D47" s="21" t="s">
        <v>3</v>
      </c>
      <c r="E47" s="22">
        <f>H45</f>
        <v>3100</v>
      </c>
    </row>
  </sheetData>
  <sheetProtection sheet="1" objects="1" scenarios="1" selectLockedCells="1"/>
  <mergeCells count="4">
    <mergeCell ref="A1:B1"/>
    <mergeCell ref="A2:B2"/>
    <mergeCell ref="C1:E1"/>
    <mergeCell ref="C2:E2"/>
  </mergeCells>
  <phoneticPr fontId="1"/>
  <dataValidations count="3">
    <dataValidation type="list" allowBlank="1" showInputMessage="1" showErrorMessage="1" sqref="F5:F44" xr:uid="{00000000-0002-0000-0800-000000000000}">
      <formula1>"登録,未登録,　,"</formula1>
    </dataValidation>
    <dataValidation type="list" allowBlank="1" showInputMessage="1" showErrorMessage="1" sqref="B5:B44" xr:uid="{00000000-0002-0000-0800-000001000000}">
      <formula1>"一般,大学,高校,中学,小学,　,"</formula1>
    </dataValidation>
    <dataValidation type="list" allowBlank="1" showInputMessage="1" showErrorMessage="1" sqref="E5:E44" xr:uid="{00000000-0002-0000-0800-000002000000}">
      <formula1>"小学,中学１年,中学２年,高校１年,高校２年,２０歳代以下,３０歳代,４０歳代,５０歳代,６０歳代,７０歳代以上,　,"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8C659-BE3B-4A56-AF48-99007AFC8C4D}">
  <sheetPr>
    <tabColor theme="1"/>
  </sheetPr>
  <dimension ref="A1:F9"/>
  <sheetViews>
    <sheetView view="pageBreakPreview" zoomScale="115" zoomScaleNormal="100" zoomScaleSheetLayoutView="115" workbookViewId="0">
      <selection activeCell="D6" sqref="D6"/>
    </sheetView>
  </sheetViews>
  <sheetFormatPr defaultRowHeight="40.5" customHeight="1"/>
  <cols>
    <col min="1" max="1" width="20.73046875" customWidth="1"/>
    <col min="2" max="2" width="9.86328125" customWidth="1"/>
    <col min="3" max="3" width="5.1328125" customWidth="1"/>
    <col min="4" max="4" width="34.265625" customWidth="1"/>
    <col min="5" max="5" width="3.86328125" bestFit="1" customWidth="1"/>
    <col min="6" max="6" width="10.265625" customWidth="1"/>
  </cols>
  <sheetData>
    <row r="1" spans="1:6" ht="40.5" customHeight="1">
      <c r="A1" s="79" t="s">
        <v>64</v>
      </c>
      <c r="B1" s="79"/>
      <c r="C1" s="79"/>
      <c r="D1" s="79"/>
      <c r="E1" s="79"/>
      <c r="F1" s="79"/>
    </row>
    <row r="2" spans="1:6" ht="40.5" customHeight="1">
      <c r="A2" s="79"/>
      <c r="B2" s="79"/>
      <c r="C2" s="79"/>
      <c r="D2" s="79"/>
      <c r="E2" s="79"/>
      <c r="F2" s="79"/>
    </row>
    <row r="4" spans="1:6" ht="40.5" customHeight="1">
      <c r="A4" s="78" t="str">
        <f>IF(団体名等入力!B3="","",団体名等入力!B3)</f>
        <v/>
      </c>
      <c r="B4" s="78"/>
      <c r="C4" s="61" t="s">
        <v>67</v>
      </c>
    </row>
    <row r="5" spans="1:6" ht="14.25" customHeight="1">
      <c r="A5" s="5"/>
      <c r="B5" s="5"/>
      <c r="C5" s="5"/>
      <c r="D5" s="6"/>
      <c r="E5" s="6"/>
      <c r="F5" s="3"/>
    </row>
    <row r="6" spans="1:6" ht="40.5" customHeight="1">
      <c r="A6" s="80" t="s">
        <v>65</v>
      </c>
      <c r="B6" s="80"/>
      <c r="C6" s="80"/>
      <c r="D6" s="7">
        <f>男女シングルス!C47</f>
        <v>0</v>
      </c>
      <c r="E6" s="81" t="s">
        <v>66</v>
      </c>
      <c r="F6" s="81"/>
    </row>
    <row r="7" spans="1:6" ht="40.5" customHeight="1">
      <c r="A7" s="3"/>
      <c r="B7" s="4"/>
      <c r="C7" s="4"/>
      <c r="D7" s="4"/>
      <c r="E7" s="4"/>
      <c r="F7" s="4"/>
    </row>
    <row r="8" spans="1:6" ht="40.5" customHeight="1">
      <c r="A8" s="82"/>
      <c r="B8" s="82"/>
      <c r="C8" s="27"/>
      <c r="D8" s="77"/>
      <c r="E8" s="77"/>
      <c r="F8" s="77"/>
    </row>
    <row r="9" spans="1:6" ht="40.5" customHeight="1">
      <c r="A9" s="1"/>
      <c r="B9" s="2"/>
      <c r="C9" s="2"/>
      <c r="D9" s="77"/>
      <c r="E9" s="77"/>
      <c r="F9" s="77"/>
    </row>
  </sheetData>
  <sheetProtection selectLockedCells="1"/>
  <mergeCells count="7">
    <mergeCell ref="D9:F9"/>
    <mergeCell ref="A4:B4"/>
    <mergeCell ref="A1:F2"/>
    <mergeCell ref="A6:C6"/>
    <mergeCell ref="E6:F6"/>
    <mergeCell ref="A8:B8"/>
    <mergeCell ref="D8:F8"/>
  </mergeCells>
  <phoneticPr fontId="1"/>
  <pageMargins left="0.7" right="0.7" top="0.75" bottom="0.75" header="0.3" footer="0.3"/>
  <pageSetup paperSize="9" scale="9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3</vt:i4>
      </vt:variant>
    </vt:vector>
  </HeadingPairs>
  <TitlesOfParts>
    <vt:vector size="8" baseType="lpstr">
      <vt:lpstr>団体名等入力</vt:lpstr>
      <vt:lpstr>男女シングルス</vt:lpstr>
      <vt:lpstr>団体 (記載例)</vt:lpstr>
      <vt:lpstr>シングルス (記載例)</vt:lpstr>
      <vt:lpstr>合計金額</vt:lpstr>
      <vt:lpstr>合計金額!Print_Area</vt:lpstr>
      <vt:lpstr>団体名等入力!Print_Area</vt:lpstr>
      <vt:lpstr>男女シングルス!Print_Area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2025-06-20T14:24:18Z</dcterms:modified>
</cp:coreProperties>
</file>