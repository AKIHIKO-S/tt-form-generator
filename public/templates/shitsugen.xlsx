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3" documentId="13_ncr:1_{13E9B1DD-6FD3-4F5F-AB51-D6FC29B678FA}" xr6:coauthVersionLast="47" xr6:coauthVersionMax="47" xr10:uidLastSave="{D25D396C-74F4-4516-B214-6B603A7523E0}"/>
  <bookViews>
    <workbookView xWindow="2325" yWindow="413" windowWidth="18075" windowHeight="13020" tabRatio="753" activeTab="1" xr2:uid="{00000000-000D-0000-FFFF-FFFF00000000}"/>
  </bookViews>
  <sheets>
    <sheet name="団体名等入力" sheetId="3" r:id="rId1"/>
    <sheet name="男女シングルス" sheetId="22" r:id="rId2"/>
    <sheet name="男女ダブルス" sheetId="23" r:id="rId3"/>
    <sheet name="ＰＭシニア男女" sheetId="24" r:id="rId4"/>
    <sheet name="団体 (記載例)" sheetId="6" state="hidden" r:id="rId5"/>
    <sheet name="シングルス (記載例)" sheetId="7" state="hidden" r:id="rId6"/>
    <sheet name="合計金額" sheetId="25" r:id="rId7"/>
  </sheets>
  <definedNames>
    <definedName name="_xlnm._FilterDatabase" localSheetId="3" hidden="1">ＰＭシニア男女!$A$4:$G$21</definedName>
    <definedName name="_xlnm._FilterDatabase" localSheetId="5" hidden="1">'シングルス (記載例)'!$A$4:$H$47</definedName>
    <definedName name="_xlnm._FilterDatabase" localSheetId="1" hidden="1">男女シングルス!$A$4:$J$17</definedName>
    <definedName name="_xlnm.Print_Area" localSheetId="3">ＰＭシニア男女!$A$1:$G$27</definedName>
    <definedName name="_xlnm.Print_Area" localSheetId="6">合計金額!$A$1:$F$9</definedName>
    <definedName name="_xlnm.Print_Area" localSheetId="0">団体名等入力!$A$1:$D$7</definedName>
    <definedName name="_xlnm.Print_Area" localSheetId="1">男女シングルス!$A$1:$F$48</definedName>
    <definedName name="_xlnm.Print_Area" localSheetId="2">男女ダブルス!$A$1:$H$48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2" l="1"/>
  <c r="I9" i="22"/>
  <c r="K9" i="23"/>
  <c r="M9" i="23"/>
  <c r="K7" i="23"/>
  <c r="K17" i="23"/>
  <c r="K16" i="23"/>
  <c r="K15" i="23"/>
  <c r="K14" i="23"/>
  <c r="K13" i="23"/>
  <c r="K11" i="23"/>
  <c r="K10" i="23"/>
  <c r="L8" i="24"/>
  <c r="J8" i="24"/>
  <c r="L10" i="24"/>
  <c r="J11" i="24"/>
  <c r="A4" i="25"/>
  <c r="C2" i="24"/>
  <c r="C2" i="23"/>
  <c r="C2" i="22"/>
  <c r="C1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J10" i="24" l="1"/>
  <c r="L11" i="24"/>
  <c r="C27" i="24" l="1"/>
  <c r="C26" i="24"/>
  <c r="C1" i="23" l="1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6" i="23"/>
  <c r="A7" i="23" s="1"/>
  <c r="A8" i="23" s="1"/>
  <c r="A9" i="23" s="1"/>
  <c r="A10" i="23" s="1"/>
  <c r="A11" i="23" s="1"/>
  <c r="A5" i="23"/>
  <c r="C1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7" i="22"/>
  <c r="A8" i="22" s="1"/>
  <c r="A5" i="22"/>
  <c r="A6" i="22" s="1"/>
  <c r="I15" i="22" l="1"/>
  <c r="K15" i="22" s="1"/>
  <c r="I13" i="22"/>
  <c r="K13" i="22" s="1"/>
  <c r="K9" i="22"/>
  <c r="I10" i="22"/>
  <c r="K10" i="22" s="1"/>
  <c r="I12" i="22"/>
  <c r="K12" i="22" s="1"/>
  <c r="M17" i="23"/>
  <c r="M15" i="23"/>
  <c r="M16" i="23"/>
  <c r="M13" i="23"/>
  <c r="M10" i="23"/>
  <c r="M11" i="23"/>
  <c r="M14" i="23"/>
  <c r="K12" i="23"/>
  <c r="M12" i="23" s="1"/>
  <c r="I16" i="22"/>
  <c r="K16" i="22" s="1"/>
  <c r="I11" i="22"/>
  <c r="I14" i="22"/>
  <c r="K14" i="22" s="1"/>
  <c r="C46" i="23" l="1"/>
  <c r="C46" i="22"/>
  <c r="K11" i="22"/>
  <c r="K7" i="22" s="1"/>
  <c r="C47" i="22" s="1"/>
  <c r="M7" i="23" l="1"/>
  <c r="C47" i="23" s="1"/>
  <c r="D6" i="25" s="1"/>
  <c r="C2" i="7"/>
  <c r="D2" i="6"/>
  <c r="I6" i="6" l="1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E46" i="7" l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 s="1"/>
  <c r="J27" i="6"/>
  <c r="G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F4" authorId="0" shapeId="0" xr:uid="{835EC189-E421-4EA3-9AAA-853B443F09CD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7F80CE00-1571-4781-BA0D-27A3EF87695D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b/>
            <sz val="9"/>
            <color indexed="81"/>
            <rFont val="MS P ゴシック"/>
            <family val="3"/>
            <charset val="128"/>
          </rPr>
          <t>ダブルスのパートナーを募集する場合は氏名１および備考欄にその旨ご記入ください。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D96F916-B79A-46EA-A9A1-4586F0F5471E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【備考】
読みにくい氏名のフリガナなど、特記事項があれば、ご記入ください。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7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<sst xmlns="http://schemas.openxmlformats.org/spreadsheetml/2006/main" count="194" uniqueCount="79">
  <si>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</si>
  <si>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</si>
  <si>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</si>
  <si>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登録団体名</t>
    <rPh sb="0" eb="2">
      <t>トウロク</t>
    </rPh>
    <rPh sb="2" eb="4">
      <t>ダンタイ</t>
    </rPh>
    <rPh sb="4" eb="5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</si>
  <si>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</si>
  <si>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</si>
  <si>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</si>
  <si>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</si>
  <si>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</si>
  <si>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</si>
  <si>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</si>
  <si>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</si>
  <si>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</si>
  <si>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</si>
  <si>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</si>
  <si>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</si>
  <si>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</si>
  <si>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</si>
  <si>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</si>
  <si>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</si>
  <si>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</si>
  <si>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</si>
  <si>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</si>
  <si>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</si>
  <si>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</si>
  <si>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</si>
  <si>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</si>
  <si>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</si>
  <si>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</si>
  <si>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</si>
  <si>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</si>
  <si>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</si>
  <si>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</si>
  <si>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</si>
  <si>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</si>
  <si>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</si>
  <si>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</si>
  <si>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</si>
  <si>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</si>
  <si>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</si>
  <si>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</si>
  <si>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</si>
  <si>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</si>
  <si>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申込責任者</t>
    <rPh sb="0" eb="2">
      <t>モウシコミ</t>
    </rPh>
    <rPh sb="2" eb="5">
      <t>セキニンシャ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</si>
  <si>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</si>
  <si>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</si>
  <si>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コーチ</t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</si>
  <si>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</si>
  <si>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≪参加料は、大会当日の開会式前(午前8時15分～8時45分の間)に受付（ステージ左側）でお支払いください。≫</t>
    <rPh sb="22" eb="23">
      <t>フン</t>
    </rPh>
    <rPh sb="40" eb="42">
      <t>ヒダリカワ</t>
    </rPh>
    <phoneticPr fontId="1"/>
  </si>
  <si>
    <t>支部名</t>
    <rPh sb="0" eb="2">
      <t>シブ</t>
    </rPh>
    <rPh sb="2" eb="3">
      <t>メイ</t>
    </rPh>
    <phoneticPr fontId="1"/>
  </si>
  <si>
    <t>氏名１の団体名</t>
    <rPh sb="0" eb="2">
      <t>シメイ</t>
    </rPh>
    <rPh sb="4" eb="6">
      <t>ダンタイ</t>
    </rPh>
    <rPh sb="6" eb="7">
      <t>メイ</t>
    </rPh>
    <phoneticPr fontId="1"/>
  </si>
  <si>
    <t>シングルス（男子・女子）</t>
    <rPh sb="6" eb="8">
      <t>ダンシ</t>
    </rPh>
    <rPh sb="9" eb="11">
      <t>ジョシ</t>
    </rPh>
    <phoneticPr fontId="1"/>
  </si>
  <si>
    <t>種目</t>
    <rPh sb="0" eb="2">
      <t>シュモク</t>
    </rPh>
    <phoneticPr fontId="1"/>
  </si>
  <si>
    <t>備考</t>
    <rPh sb="0" eb="2">
      <t>ビコウ</t>
    </rPh>
    <phoneticPr fontId="19"/>
  </si>
  <si>
    <t>申込数合計</t>
    <rPh sb="0" eb="2">
      <t>モウシコミ</t>
    </rPh>
    <rPh sb="2" eb="3">
      <t>スウ</t>
    </rPh>
    <rPh sb="3" eb="5">
      <t>ゴウケイ</t>
    </rPh>
    <phoneticPr fontId="19"/>
  </si>
  <si>
    <t>金額合計</t>
    <rPh sb="0" eb="4">
      <t>キンガクゴウケイ</t>
    </rPh>
    <phoneticPr fontId="19"/>
  </si>
  <si>
    <t>申込区分</t>
    <rPh sb="0" eb="2">
      <t>モウシコミ</t>
    </rPh>
    <rPh sb="2" eb="4">
      <t>クブン</t>
    </rPh>
    <phoneticPr fontId="19"/>
  </si>
  <si>
    <t>申込数</t>
    <rPh sb="0" eb="2">
      <t>モウシコミ</t>
    </rPh>
    <rPh sb="2" eb="3">
      <t>スウ</t>
    </rPh>
    <phoneticPr fontId="19"/>
  </si>
  <si>
    <t>金額</t>
    <rPh sb="0" eb="2">
      <t>キンガク</t>
    </rPh>
    <phoneticPr fontId="19"/>
  </si>
  <si>
    <t>計</t>
    <rPh sb="0" eb="1">
      <t>ケイ</t>
    </rPh>
    <phoneticPr fontId="19"/>
  </si>
  <si>
    <t>一般男子</t>
    <rPh sb="0" eb="4">
      <t>イッパンダンシ</t>
    </rPh>
    <phoneticPr fontId="19"/>
  </si>
  <si>
    <t>一般女子</t>
    <rPh sb="0" eb="4">
      <t>イッパンジョシ</t>
    </rPh>
    <phoneticPr fontId="19"/>
  </si>
  <si>
    <t>高校男子</t>
    <rPh sb="0" eb="2">
      <t>コウコウ</t>
    </rPh>
    <rPh sb="2" eb="4">
      <t>ダンシ</t>
    </rPh>
    <phoneticPr fontId="1"/>
  </si>
  <si>
    <t>高校女子</t>
    <rPh sb="0" eb="2">
      <t>コウコウ</t>
    </rPh>
    <rPh sb="2" eb="4">
      <t>ジョシ</t>
    </rPh>
    <phoneticPr fontId="1"/>
  </si>
  <si>
    <t>中学男子</t>
    <rPh sb="0" eb="2">
      <t>チュウガク</t>
    </rPh>
    <rPh sb="2" eb="4">
      <t>ダンシ</t>
    </rPh>
    <phoneticPr fontId="1"/>
  </si>
  <si>
    <t>中学女子</t>
    <rPh sb="0" eb="4">
      <t>チュウガクジョシ</t>
    </rPh>
    <phoneticPr fontId="1"/>
  </si>
  <si>
    <t>小学男子</t>
    <rPh sb="0" eb="4">
      <t>ショウガクダンシ</t>
    </rPh>
    <phoneticPr fontId="1"/>
  </si>
  <si>
    <t>小学女子</t>
    <rPh sb="0" eb="4">
      <t>ショウガクジョシ</t>
    </rPh>
    <phoneticPr fontId="1"/>
  </si>
  <si>
    <t>氏名１</t>
    <rPh sb="0" eb="2">
      <t>シメイ</t>
    </rPh>
    <phoneticPr fontId="1"/>
  </si>
  <si>
    <t>氏名２の団体名</t>
    <rPh sb="0" eb="2">
      <t>シメイ</t>
    </rPh>
    <rPh sb="4" eb="6">
      <t>ダンタイ</t>
    </rPh>
    <rPh sb="6" eb="7">
      <t>メイ</t>
    </rPh>
    <phoneticPr fontId="1"/>
  </si>
  <si>
    <t>ミックス</t>
    <phoneticPr fontId="1"/>
  </si>
  <si>
    <t>小学男子</t>
    <rPh sb="0" eb="2">
      <t>ショウガク</t>
    </rPh>
    <rPh sb="2" eb="4">
      <t>ダンシ</t>
    </rPh>
    <phoneticPr fontId="1"/>
  </si>
  <si>
    <t>ダブルス（男子・女子）</t>
    <rPh sb="5" eb="7">
      <t>ダンシ</t>
    </rPh>
    <rPh sb="8" eb="10">
      <t>ジョシ</t>
    </rPh>
    <phoneticPr fontId="1"/>
  </si>
  <si>
    <t>年齢
（５５歳以上）</t>
    <rPh sb="0" eb="2">
      <t>ネンレイ</t>
    </rPh>
    <rPh sb="6" eb="9">
      <t>サイイジョウ</t>
    </rPh>
    <phoneticPr fontId="1"/>
  </si>
  <si>
    <t>合計金額</t>
    <rPh sb="0" eb="2">
      <t>ゴウケイ</t>
    </rPh>
    <rPh sb="2" eb="4">
      <t>キンガク</t>
    </rPh>
    <phoneticPr fontId="1"/>
  </si>
  <si>
    <t>大会参加料の合計は</t>
    <rPh sb="0" eb="2">
      <t>タイカイ</t>
    </rPh>
    <rPh sb="2" eb="5">
      <t>サンカリョウ</t>
    </rPh>
    <rPh sb="6" eb="8">
      <t>ゴウケイ</t>
    </rPh>
    <phoneticPr fontId="1"/>
  </si>
  <si>
    <t>です。</t>
    <phoneticPr fontId="1"/>
  </si>
  <si>
    <t>注意！他団体の選手と組む場合は、重複申込の無いよう調整してください。</t>
    <rPh sb="0" eb="2">
      <t>チュウイ</t>
    </rPh>
    <rPh sb="3" eb="4">
      <t>タ</t>
    </rPh>
    <rPh sb="4" eb="6">
      <t>ダンタイ</t>
    </rPh>
    <rPh sb="7" eb="9">
      <t>センシュ</t>
    </rPh>
    <rPh sb="10" eb="11">
      <t>ク</t>
    </rPh>
    <rPh sb="12" eb="14">
      <t>バアイ</t>
    </rPh>
    <rPh sb="16" eb="18">
      <t>チョウフク</t>
    </rPh>
    <rPh sb="18" eb="20">
      <t>モウシコミ</t>
    </rPh>
    <rPh sb="21" eb="22">
      <t>ナ</t>
    </rPh>
    <rPh sb="25" eb="27">
      <t>チョウセイ</t>
    </rPh>
    <phoneticPr fontId="1"/>
  </si>
  <si>
    <t>第45回　湿原の風オープン選手権／
第14回　ＰＭシニアオープン</t>
    <rPh sb="0" eb="1">
      <t>ダイ</t>
    </rPh>
    <rPh sb="3" eb="4">
      <t>カイ</t>
    </rPh>
    <rPh sb="5" eb="7">
      <t>シツゲン</t>
    </rPh>
    <rPh sb="8" eb="9">
      <t>カゼ</t>
    </rPh>
    <rPh sb="13" eb="16">
      <t>センシュケン</t>
    </rPh>
    <rPh sb="18" eb="19">
      <t>ダイ</t>
    </rPh>
    <rPh sb="21" eb="22">
      <t>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</si>
</sst>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  <numFmt numFmtId="180" formatCode="@\ &quot;様&quot;"/>
  </numFmts>
  <fonts count="2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11"/>
      <color theme="0"/>
      <name val="ＭＳ Ｐゴシック"/>
      <family val="2"/>
      <scheme val="minor"/>
    </font>
    <font>
      <sz val="11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u/>
      <sz val="11"/>
      <color theme="1"/>
      <name val="ＭＳ Ｐゴシック"/>
      <family val="2"/>
      <scheme val="minor"/>
    </font>
    <font>
      <b/>
      <u/>
      <sz val="10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2"/>
      <color rgb="FFFF0000"/>
      <name val="BIZ UD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8" fillId="0" borderId="0" applyFont="0" applyFill="0" applyBorder="0" applyAlignment="0" applyProtection="0">
      <alignment vertical="center"/>
    </xf>
    <xf numFmtId="0" fontId="18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5" fontId="9" fillId="0" borderId="0" xfId="0" applyNumberFormat="1" applyFont="1" applyAlignment="1">
      <alignment horizontal="center" vertical="center"/>
    </xf>
    <xf numFmtId="5" fontId="9" fillId="0" borderId="6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76" fontId="0" fillId="0" borderId="2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7" xfId="0" applyFill="1" applyBorder="1" applyAlignment="1">
      <alignment vertical="center"/>
    </xf>
    <xf numFmtId="178" fontId="4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3" borderId="12" xfId="0" applyFill="1" applyBorder="1" applyAlignment="1">
      <alignment vertical="center" shrinkToFit="1"/>
    </xf>
    <xf numFmtId="0" fontId="0" fillId="3" borderId="0" xfId="0" applyFill="1" applyAlignment="1">
      <alignment vertical="center"/>
    </xf>
    <xf numFmtId="0" fontId="13" fillId="0" borderId="10" xfId="0" applyFont="1" applyBorder="1" applyAlignment="1">
      <alignment vertical="center"/>
    </xf>
    <xf numFmtId="0" fontId="0" fillId="0" borderId="0" xfId="0" applyAlignment="1">
      <alignment horizontal="left"/>
    </xf>
    <xf numFmtId="0" fontId="18" fillId="4" borderId="1" xfId="2" applyFill="1" applyBorder="1" applyAlignment="1">
      <alignment horizontal="center" vertical="center"/>
    </xf>
    <xf numFmtId="0" fontId="0" fillId="4" borderId="1" xfId="2" applyFont="1" applyFill="1" applyBorder="1" applyAlignment="1">
      <alignment horizontal="center" vertical="center"/>
    </xf>
    <xf numFmtId="0" fontId="18" fillId="3" borderId="0" xfId="2" applyFill="1" applyAlignment="1">
      <alignment horizontal="center" vertical="center"/>
    </xf>
    <xf numFmtId="0" fontId="18" fillId="4" borderId="1" xfId="2" applyFill="1" applyBorder="1" applyAlignment="1">
      <alignment horizontal="center"/>
    </xf>
    <xf numFmtId="0" fontId="18" fillId="5" borderId="1" xfId="2" applyFill="1" applyBorder="1" applyAlignment="1" applyProtection="1">
      <alignment horizontal="center" vertical="center"/>
      <protection locked="0"/>
    </xf>
    <xf numFmtId="0" fontId="2" fillId="5" borderId="1" xfId="2" applyFont="1" applyFill="1" applyBorder="1" applyAlignment="1" applyProtection="1">
      <alignment vertical="center" shrinkToFit="1"/>
      <protection locked="0"/>
    </xf>
    <xf numFmtId="0" fontId="18" fillId="5" borderId="1" xfId="2" applyFill="1" applyBorder="1" applyAlignment="1" applyProtection="1">
      <alignment horizontal="center" vertical="center" shrinkToFit="1"/>
      <protection locked="0"/>
    </xf>
    <xf numFmtId="0" fontId="18" fillId="0" borderId="1" xfId="2" applyBorder="1" applyAlignment="1" applyProtection="1">
      <alignment shrinkToFit="1"/>
      <protection locked="0"/>
    </xf>
    <xf numFmtId="0" fontId="18" fillId="0" borderId="0" xfId="2" applyAlignment="1">
      <alignment shrinkToFit="1"/>
    </xf>
    <xf numFmtId="0" fontId="18" fillId="0" borderId="0" xfId="2"/>
    <xf numFmtId="38" fontId="18" fillId="0" borderId="0" xfId="1" applyFont="1" applyAlignment="1" applyProtection="1"/>
    <xf numFmtId="0" fontId="18" fillId="0" borderId="0" xfId="2" applyAlignment="1">
      <alignment horizontal="center" vertical="center"/>
    </xf>
    <xf numFmtId="38" fontId="18" fillId="0" borderId="0" xfId="1" applyFont="1" applyAlignment="1" applyProtection="1">
      <alignment horizontal="center" vertical="center"/>
    </xf>
    <xf numFmtId="0" fontId="0" fillId="0" borderId="0" xfId="2" applyFont="1"/>
    <xf numFmtId="0" fontId="18" fillId="5" borderId="1" xfId="2" applyFill="1" applyBorder="1" applyProtection="1">
      <protection locked="0"/>
    </xf>
    <xf numFmtId="0" fontId="11" fillId="5" borderId="1" xfId="2" applyFont="1" applyFill="1" applyBorder="1" applyAlignment="1" applyProtection="1">
      <alignment horizontal="right"/>
      <protection locked="0"/>
    </xf>
    <xf numFmtId="0" fontId="0" fillId="2" borderId="13" xfId="0" applyFill="1" applyBorder="1" applyAlignment="1">
      <alignment horizontal="center" vertical="center"/>
    </xf>
    <xf numFmtId="176" fontId="0" fillId="0" borderId="14" xfId="0" applyNumberFormat="1" applyBorder="1" applyAlignment="1">
      <alignment horizontal="right" vertical="center"/>
    </xf>
    <xf numFmtId="0" fontId="0" fillId="2" borderId="15" xfId="0" applyFill="1" applyBorder="1" applyAlignment="1">
      <alignment horizontal="center" vertical="center"/>
    </xf>
    <xf numFmtId="5" fontId="0" fillId="0" borderId="16" xfId="0" applyNumberFormat="1" applyBorder="1" applyAlignment="1">
      <alignment horizontal="right" vertical="center"/>
    </xf>
    <xf numFmtId="0" fontId="0" fillId="5" borderId="1" xfId="2" applyFont="1" applyFill="1" applyBorder="1" applyAlignment="1" applyProtection="1">
      <alignment horizontal="center" vertical="center" shrinkToFit="1"/>
      <protection locked="0"/>
    </xf>
    <xf numFmtId="0" fontId="18" fillId="3" borderId="1" xfId="2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0" fontId="18" fillId="3" borderId="1" xfId="2" applyFill="1" applyBorder="1" applyAlignment="1">
      <alignment horizontal="center"/>
    </xf>
    <xf numFmtId="0" fontId="6" fillId="5" borderId="1" xfId="2" applyFont="1" applyFill="1" applyBorder="1" applyAlignment="1" applyProtection="1">
      <alignment horizontal="center" vertical="center"/>
      <protection locked="0"/>
    </xf>
    <xf numFmtId="0" fontId="7" fillId="5" borderId="1" xfId="2" applyFont="1" applyFill="1" applyBorder="1" applyAlignment="1" applyProtection="1">
      <alignment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8" fillId="2" borderId="1" xfId="2" applyFill="1" applyBorder="1" applyAlignment="1">
      <alignment horizontal="center" vertical="center"/>
    </xf>
    <xf numFmtId="0" fontId="0" fillId="2" borderId="1" xfId="2" applyFont="1" applyFill="1" applyBorder="1" applyAlignment="1">
      <alignment horizontal="center" vertical="center"/>
    </xf>
    <xf numFmtId="0" fontId="0" fillId="2" borderId="1" xfId="2" applyFont="1" applyFill="1" applyBorder="1" applyAlignment="1">
      <alignment horizontal="center" vertical="center" wrapText="1"/>
    </xf>
    <xf numFmtId="0" fontId="18" fillId="2" borderId="1" xfId="2" applyFill="1" applyBorder="1" applyAlignment="1">
      <alignment horizontal="center"/>
    </xf>
    <xf numFmtId="0" fontId="6" fillId="0" borderId="0" xfId="2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17" fillId="0" borderId="1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14" fillId="0" borderId="0" xfId="0" applyNumberFormat="1" applyFont="1" applyAlignment="1">
      <alignment horizontal="left" vertical="center"/>
    </xf>
    <xf numFmtId="180" fontId="3" fillId="0" borderId="0" xfId="0" applyNumberFormat="1" applyFont="1" applyAlignment="1">
      <alignment horizontal="right"/>
    </xf>
  </cellXfs>
  <cellStyles count="3">
    <cellStyle name="桁区切り" xfId="1" builtinId="6"/>
    <cellStyle name="標準" xfId="0" builtinId="0"/>
    <cellStyle name="標準 2" xfId="2" xr:uid="{CAD95F6A-A53B-442D-8A41-208790766FDE}"/>
  </cellStyles>
  <dxfs count="1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CCC"/>
      <color rgb="FFCCFFFF"/>
      <color rgb="FFCCFFCC"/>
      <color rgb="FFFF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377337</xdr:colOff>
      <xdr:row>7</xdr:row>
      <xdr:rowOff>113567</xdr:rowOff>
    </xdr:from>
    <xdr:to>
      <xdr:col>3</xdr:col>
      <xdr:colOff>790575</xdr:colOff>
      <xdr:row>14</xdr:row>
      <xdr:rowOff>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3EC15478-04C9-404E-811A-44C37C09EEA3}"/>
            </a:ext>
          </a:extLst>
        </xdr:cNvPr>
        <xdr:cNvSpPr/>
      </xdr:nvSpPr>
      <xdr:spPr>
        <a:xfrm>
          <a:off x="377337" y="1824404"/>
          <a:ext cx="5446834" cy="1014779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注意事項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中学校は○○中学、高校は○○高校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（例：景雲中学、湖陵高校）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大学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（例：教育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大釧路、釧路公立大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女子が男子にエントリーすることはできません。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7"/>
  <sheetViews>
    <sheetView view="pageBreakPreview" zoomScaleNormal="100" zoomScaleSheetLayoutView="100" workbookViewId="0">
      <selection activeCell="B3" sqref="B3"/>
    </sheetView>
  </sheetViews>
  <sheetFormatPr defaultRowHeight="12.75"/>
  <cols>
    <col min="1" max="1" width="36.3984375" customWidth="1"/>
    <col min="2" max="3" width="17" customWidth="1"/>
    <col min="4" max="4" width="19.3984375" customWidth="1"/>
  </cols>
  <sheetData>
    <row r="2" spans="1:4" ht="29.25" customHeight="1">
      <c r="A2" s="30" t="s">
        <v>0</v>
      </c>
      <c r="B2" s="30" t="s">
        <v>2</v>
      </c>
      <c r="C2" s="30" t="s">
        <v>43</v>
      </c>
      <c r="D2" s="30" t="s">
        <v>25</v>
      </c>
    </row>
    <row r="3" spans="1:4" ht="29.25" customHeight="1">
      <c r="A3" s="29" t="s">
        <v>78</v>
      </c>
      <c r="B3" s="25"/>
      <c r="C3" s="25"/>
      <c r="D3" s="25"/>
    </row>
    <row r="4" spans="1:4" ht="33.75" customHeight="1"/>
    <row r="5" spans="1:4" ht="30" hidden="1" customHeight="1">
      <c r="A5" s="14" t="s">
        <v>44</v>
      </c>
      <c r="B5" s="14" t="s">
        <v>45</v>
      </c>
      <c r="C5" s="14" t="s">
        <v>46</v>
      </c>
      <c r="D5" s="14" t="s">
        <v>46</v>
      </c>
    </row>
    <row r="6" spans="1:4" ht="30" hidden="1" customHeight="1">
      <c r="A6" s="31" t="s">
        <v>47</v>
      </c>
      <c r="B6" s="32"/>
      <c r="C6" s="32"/>
      <c r="D6" s="32"/>
    </row>
    <row r="7" spans="1:4" ht="30" customHeight="1">
      <c r="A7" s="73" t="s">
        <v>48</v>
      </c>
      <c r="B7" s="73"/>
      <c r="C7" s="73"/>
      <c r="D7" s="73"/>
    </row>
  </sheetData>
  <sheetProtection sheet="1" selectLockedCells="1"/>
  <protectedRanges>
    <protectedRange sqref="A3:D3" name="範囲1"/>
  </protectedRanges>
  <mergeCells count="1">
    <mergeCell ref="A7:D7"/>
  </mergeCells>
  <phoneticPr fontId="1"/>
  <pageMargins left="0.7" right="0.7" top="0.75" bottom="0.75" header="0.3" footer="0.3"/>
  <pageSetup paperSize="9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B05B-CAB3-4EA2-AC95-A5066DBEEB0E}">
  <sheetPr>
    <tabColor rgb="FFCCFFCC"/>
  </sheetPr>
  <dimension ref="A1:K47"/>
  <sheetViews>
    <sheetView tabSelected="1"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5.265625" style="1" customWidth="1"/>
    <col min="2" max="2" width="13.265625" customWidth="1"/>
    <col min="3" max="5" width="17" customWidth="1"/>
    <col min="6" max="6" width="17" style="2" customWidth="1"/>
    <col min="7" max="7" width="5.59765625" style="2" customWidth="1"/>
    <col min="8" max="10" width="11.46484375" customWidth="1"/>
  </cols>
  <sheetData>
    <row r="1" spans="1:11" s="3" customFormat="1" ht="19.5" customHeight="1">
      <c r="A1" s="74" t="s">
        <v>0</v>
      </c>
      <c r="B1" s="74"/>
      <c r="C1" s="75" t="str">
        <f>団体名等入力!A3</f>
        <v>第45回　湿原の風オープン選手権／
第14回　ＰＭシニアオープン</v>
      </c>
      <c r="D1" s="76"/>
      <c r="E1" s="76"/>
      <c r="F1" s="77"/>
      <c r="G1" s="33"/>
      <c r="H1" s="34"/>
    </row>
    <row r="2" spans="1:11" ht="19.5" customHeight="1">
      <c r="A2" s="74" t="s">
        <v>2</v>
      </c>
      <c r="B2" s="74"/>
      <c r="C2" s="78" t="str">
        <f>IF(団体名等入力!B3="","",団体名等入力!B3)</f>
        <v/>
      </c>
      <c r="D2" s="79"/>
      <c r="E2" s="79"/>
      <c r="F2" s="80"/>
      <c r="G2" s="34"/>
    </row>
    <row r="3" spans="1:11" ht="19.5" customHeight="1">
      <c r="A3" s="35" t="s">
        <v>51</v>
      </c>
      <c r="B3" s="35"/>
      <c r="C3" s="36"/>
      <c r="D3" s="1"/>
      <c r="E3" s="1"/>
    </row>
    <row r="4" spans="1:11" s="2" customFormat="1" ht="33.75" customHeight="1">
      <c r="A4" s="37"/>
      <c r="B4" s="38" t="s">
        <v>21</v>
      </c>
      <c r="C4" s="37" t="s">
        <v>1</v>
      </c>
      <c r="D4" s="37" t="s">
        <v>2</v>
      </c>
      <c r="E4" s="30" t="s">
        <v>49</v>
      </c>
      <c r="F4" s="37" t="s">
        <v>53</v>
      </c>
      <c r="G4" s="39"/>
    </row>
    <row r="5" spans="1:11" ht="19.5" customHeight="1">
      <c r="A5" s="40" t="str">
        <f>IF(B5="","",1)</f>
        <v/>
      </c>
      <c r="B5" s="41"/>
      <c r="C5" s="42"/>
      <c r="D5" s="57"/>
      <c r="E5" s="43"/>
      <c r="F5" s="44"/>
      <c r="G5" s="45"/>
    </row>
    <row r="6" spans="1:11" ht="19.5" customHeight="1">
      <c r="A6" s="40" t="str">
        <f>IF(B6="","",A5+1)</f>
        <v/>
      </c>
      <c r="B6" s="41"/>
      <c r="C6" s="42"/>
      <c r="D6" s="43"/>
      <c r="E6" s="43"/>
      <c r="F6" s="44"/>
      <c r="G6" s="45"/>
      <c r="H6" s="46"/>
      <c r="I6" s="46" t="s">
        <v>54</v>
      </c>
      <c r="J6" s="46"/>
      <c r="K6" s="46" t="s">
        <v>55</v>
      </c>
    </row>
    <row r="7" spans="1:11" ht="19.5" customHeight="1">
      <c r="A7" s="40" t="str">
        <f t="shared" ref="A7:A44" si="0">IF(B7="","",A6+1)</f>
        <v/>
      </c>
      <c r="B7" s="41"/>
      <c r="C7" s="42"/>
      <c r="D7" s="43"/>
      <c r="E7" s="43"/>
      <c r="F7" s="44"/>
      <c r="G7" s="45"/>
      <c r="H7" s="46"/>
      <c r="I7" s="46">
        <f>SUM(I9:I16)</f>
        <v>0</v>
      </c>
      <c r="J7" s="46"/>
      <c r="K7" s="47">
        <f>SUM(K9:K16)</f>
        <v>0</v>
      </c>
    </row>
    <row r="8" spans="1:11" ht="19.5" customHeight="1">
      <c r="A8" s="40" t="str">
        <f t="shared" si="0"/>
        <v/>
      </c>
      <c r="B8" s="41"/>
      <c r="C8" s="42"/>
      <c r="D8" s="43"/>
      <c r="E8" s="43"/>
      <c r="F8" s="44"/>
      <c r="G8" s="45"/>
      <c r="H8" s="48" t="s">
        <v>56</v>
      </c>
      <c r="I8" s="48" t="s">
        <v>57</v>
      </c>
      <c r="J8" s="48" t="s">
        <v>58</v>
      </c>
      <c r="K8" s="49" t="s">
        <v>59</v>
      </c>
    </row>
    <row r="9" spans="1:11" ht="19.5" customHeight="1">
      <c r="A9" s="40" t="str">
        <f t="shared" si="0"/>
        <v/>
      </c>
      <c r="B9" s="41"/>
      <c r="C9" s="42"/>
      <c r="D9" s="43"/>
      <c r="E9" s="43"/>
      <c r="F9" s="44"/>
      <c r="G9" s="45"/>
      <c r="H9" s="46" t="s">
        <v>60</v>
      </c>
      <c r="I9" s="46">
        <f>COUNTIF(A:B,H9)</f>
        <v>0</v>
      </c>
      <c r="J9" s="47">
        <v>700</v>
      </c>
      <c r="K9" s="47">
        <f>I9*J9</f>
        <v>0</v>
      </c>
    </row>
    <row r="10" spans="1:11" ht="19.5" customHeight="1">
      <c r="A10" s="40" t="str">
        <f t="shared" si="0"/>
        <v/>
      </c>
      <c r="B10" s="41"/>
      <c r="C10" s="42"/>
      <c r="D10" s="43"/>
      <c r="E10" s="43"/>
      <c r="F10" s="44"/>
      <c r="G10" s="45"/>
      <c r="H10" s="46" t="s">
        <v>61</v>
      </c>
      <c r="I10" s="46">
        <f t="shared" ref="I10:I16" si="1">COUNTIF(A:B,H10)</f>
        <v>0</v>
      </c>
      <c r="J10" s="47">
        <v>700</v>
      </c>
      <c r="K10" s="47">
        <f>I10*J10</f>
        <v>0</v>
      </c>
    </row>
    <row r="11" spans="1:11" ht="19.5" customHeight="1">
      <c r="A11" s="40" t="str">
        <f t="shared" si="0"/>
        <v/>
      </c>
      <c r="B11" s="41"/>
      <c r="C11" s="42"/>
      <c r="D11" s="43"/>
      <c r="E11" s="43"/>
      <c r="F11" s="44"/>
      <c r="G11" s="45"/>
      <c r="H11" s="46" t="s">
        <v>62</v>
      </c>
      <c r="I11" s="46">
        <f t="shared" si="1"/>
        <v>0</v>
      </c>
      <c r="J11">
        <v>500</v>
      </c>
      <c r="K11" s="47">
        <f t="shared" ref="K11:K16" si="2">I11*J11</f>
        <v>0</v>
      </c>
    </row>
    <row r="12" spans="1:11" ht="19.5" customHeight="1">
      <c r="A12" s="40" t="str">
        <f t="shared" si="0"/>
        <v/>
      </c>
      <c r="B12" s="41"/>
      <c r="C12" s="42"/>
      <c r="D12" s="43"/>
      <c r="E12" s="43"/>
      <c r="F12" s="44"/>
      <c r="G12" s="45"/>
      <c r="H12" s="50" t="s">
        <v>63</v>
      </c>
      <c r="I12" s="46">
        <f t="shared" si="1"/>
        <v>0</v>
      </c>
      <c r="J12">
        <v>500</v>
      </c>
      <c r="K12" s="47">
        <f t="shared" si="2"/>
        <v>0</v>
      </c>
    </row>
    <row r="13" spans="1:11" ht="19.5" customHeight="1">
      <c r="A13" s="40" t="str">
        <f t="shared" si="0"/>
        <v/>
      </c>
      <c r="B13" s="41"/>
      <c r="C13" s="42"/>
      <c r="D13" s="43"/>
      <c r="E13" s="43"/>
      <c r="F13" s="44"/>
      <c r="G13" s="45"/>
      <c r="H13" s="50" t="s">
        <v>64</v>
      </c>
      <c r="I13" s="46">
        <f t="shared" si="1"/>
        <v>0</v>
      </c>
      <c r="J13">
        <v>500</v>
      </c>
      <c r="K13" s="47">
        <f t="shared" si="2"/>
        <v>0</v>
      </c>
    </row>
    <row r="14" spans="1:11" ht="19.5" customHeight="1">
      <c r="A14" s="40" t="str">
        <f t="shared" si="0"/>
        <v/>
      </c>
      <c r="B14" s="41"/>
      <c r="C14" s="42"/>
      <c r="D14" s="43"/>
      <c r="E14" s="43"/>
      <c r="F14" s="44"/>
      <c r="G14" s="45"/>
      <c r="H14" s="50" t="s">
        <v>65</v>
      </c>
      <c r="I14" s="46">
        <f t="shared" si="1"/>
        <v>0</v>
      </c>
      <c r="J14">
        <v>500</v>
      </c>
      <c r="K14" s="47">
        <f t="shared" si="2"/>
        <v>0</v>
      </c>
    </row>
    <row r="15" spans="1:11" ht="19.5" customHeight="1">
      <c r="A15" s="40" t="str">
        <f t="shared" si="0"/>
        <v/>
      </c>
      <c r="B15" s="41"/>
      <c r="C15" s="42"/>
      <c r="D15" s="43"/>
      <c r="E15" s="43"/>
      <c r="F15" s="44"/>
      <c r="G15" s="45"/>
      <c r="H15" s="50" t="s">
        <v>66</v>
      </c>
      <c r="I15" s="46">
        <f t="shared" si="1"/>
        <v>0</v>
      </c>
      <c r="J15">
        <v>500</v>
      </c>
      <c r="K15" s="47">
        <f t="shared" si="2"/>
        <v>0</v>
      </c>
    </row>
    <row r="16" spans="1:11" ht="19.5" customHeight="1">
      <c r="A16" s="40" t="str">
        <f t="shared" si="0"/>
        <v/>
      </c>
      <c r="B16" s="41"/>
      <c r="C16" s="42"/>
      <c r="D16" s="43"/>
      <c r="E16" s="43"/>
      <c r="F16" s="44"/>
      <c r="G16" s="45"/>
      <c r="H16" s="50" t="s">
        <v>67</v>
      </c>
      <c r="I16" s="46">
        <f t="shared" si="1"/>
        <v>0</v>
      </c>
      <c r="J16">
        <v>500</v>
      </c>
      <c r="K16" s="47">
        <f t="shared" si="2"/>
        <v>0</v>
      </c>
    </row>
    <row r="17" spans="1:8" ht="19.5" customHeight="1">
      <c r="A17" s="40" t="str">
        <f t="shared" si="0"/>
        <v/>
      </c>
      <c r="B17" s="41"/>
      <c r="C17" s="42"/>
      <c r="D17" s="43"/>
      <c r="E17" s="43"/>
      <c r="F17" s="44"/>
      <c r="G17" s="45"/>
      <c r="H17" s="46"/>
    </row>
    <row r="18" spans="1:8" ht="19.5" customHeight="1">
      <c r="A18" s="40" t="str">
        <f t="shared" si="0"/>
        <v/>
      </c>
      <c r="B18" s="41"/>
      <c r="C18" s="42"/>
      <c r="D18" s="43"/>
      <c r="E18" s="43"/>
      <c r="F18" s="44"/>
      <c r="G18" s="45"/>
      <c r="H18" s="46"/>
    </row>
    <row r="19" spans="1:8" ht="19.5" customHeight="1">
      <c r="A19" s="40" t="str">
        <f t="shared" si="0"/>
        <v/>
      </c>
      <c r="B19" s="41"/>
      <c r="C19" s="42"/>
      <c r="D19" s="43"/>
      <c r="E19" s="43"/>
      <c r="F19" s="44"/>
      <c r="G19" s="45"/>
      <c r="H19" s="46"/>
    </row>
    <row r="20" spans="1:8" ht="19.5" customHeight="1">
      <c r="A20" s="40" t="str">
        <f t="shared" si="0"/>
        <v/>
      </c>
      <c r="B20" s="41"/>
      <c r="C20" s="42"/>
      <c r="D20" s="43"/>
      <c r="E20" s="43"/>
      <c r="F20" s="44"/>
      <c r="G20" s="45"/>
      <c r="H20" s="46"/>
    </row>
    <row r="21" spans="1:8" ht="19.5" customHeight="1">
      <c r="A21" s="40" t="str">
        <f t="shared" si="0"/>
        <v/>
      </c>
      <c r="B21" s="41"/>
      <c r="C21" s="42"/>
      <c r="D21" s="43"/>
      <c r="E21" s="43"/>
      <c r="F21" s="44"/>
      <c r="G21" s="45"/>
      <c r="H21" s="46"/>
    </row>
    <row r="22" spans="1:8" ht="19.5" customHeight="1">
      <c r="A22" s="40" t="str">
        <f t="shared" si="0"/>
        <v/>
      </c>
      <c r="B22" s="41"/>
      <c r="C22" s="42"/>
      <c r="D22" s="43"/>
      <c r="E22" s="43"/>
      <c r="F22" s="44"/>
      <c r="G22" s="45"/>
      <c r="H22" s="46"/>
    </row>
    <row r="23" spans="1:8" ht="19.5" customHeight="1">
      <c r="A23" s="40" t="str">
        <f t="shared" si="0"/>
        <v/>
      </c>
      <c r="B23" s="41"/>
      <c r="C23" s="42"/>
      <c r="D23" s="43"/>
      <c r="E23" s="43"/>
      <c r="F23" s="44"/>
      <c r="G23" s="45"/>
      <c r="H23" s="46"/>
    </row>
    <row r="24" spans="1:8" ht="19.5" customHeight="1">
      <c r="A24" s="40" t="str">
        <f t="shared" si="0"/>
        <v/>
      </c>
      <c r="B24" s="41"/>
      <c r="C24" s="42"/>
      <c r="D24" s="43"/>
      <c r="E24" s="43"/>
      <c r="F24" s="44"/>
      <c r="G24" s="45"/>
      <c r="H24" s="46"/>
    </row>
    <row r="25" spans="1:8" ht="19.5" customHeight="1">
      <c r="A25" s="40" t="str">
        <f t="shared" si="0"/>
        <v/>
      </c>
      <c r="B25" s="41"/>
      <c r="C25" s="51"/>
      <c r="D25" s="51"/>
      <c r="E25" s="43"/>
      <c r="F25" s="44"/>
      <c r="G25" s="45"/>
      <c r="H25" s="46"/>
    </row>
    <row r="26" spans="1:8" ht="19.5" customHeight="1">
      <c r="A26" s="40" t="str">
        <f t="shared" si="0"/>
        <v/>
      </c>
      <c r="B26" s="41"/>
      <c r="C26" s="51"/>
      <c r="D26" s="52"/>
      <c r="E26" s="43"/>
      <c r="F26" s="44"/>
      <c r="G26" s="45"/>
      <c r="H26" s="46"/>
    </row>
    <row r="27" spans="1:8" ht="19.5" customHeight="1">
      <c r="A27" s="40" t="str">
        <f t="shared" si="0"/>
        <v/>
      </c>
      <c r="B27" s="41"/>
      <c r="C27" s="51"/>
      <c r="D27" s="51"/>
      <c r="E27" s="43"/>
      <c r="F27" s="44"/>
      <c r="G27" s="45"/>
      <c r="H27" s="46"/>
    </row>
    <row r="28" spans="1:8" ht="19.5" customHeight="1">
      <c r="A28" s="40" t="str">
        <f t="shared" si="0"/>
        <v/>
      </c>
      <c r="B28" s="41"/>
      <c r="C28" s="51"/>
      <c r="D28" s="51"/>
      <c r="E28" s="43"/>
      <c r="F28" s="44"/>
      <c r="G28" s="45"/>
      <c r="H28" s="46"/>
    </row>
    <row r="29" spans="1:8" ht="19.5" customHeight="1">
      <c r="A29" s="40" t="str">
        <f t="shared" si="0"/>
        <v/>
      </c>
      <c r="B29" s="41"/>
      <c r="C29" s="51"/>
      <c r="D29" s="51"/>
      <c r="E29" s="43"/>
      <c r="F29" s="44"/>
      <c r="G29" s="45"/>
      <c r="H29" s="46"/>
    </row>
    <row r="30" spans="1:8" ht="19.5" customHeight="1">
      <c r="A30" s="40" t="str">
        <f t="shared" si="0"/>
        <v/>
      </c>
      <c r="B30" s="41"/>
      <c r="C30" s="51"/>
      <c r="D30" s="51"/>
      <c r="E30" s="43"/>
      <c r="F30" s="44"/>
      <c r="G30" s="45"/>
      <c r="H30" s="46"/>
    </row>
    <row r="31" spans="1:8" ht="19.5" customHeight="1">
      <c r="A31" s="40" t="str">
        <f t="shared" si="0"/>
        <v/>
      </c>
      <c r="B31" s="41"/>
      <c r="C31" s="51"/>
      <c r="D31" s="51"/>
      <c r="E31" s="43"/>
      <c r="F31" s="44"/>
      <c r="G31" s="45"/>
      <c r="H31" s="46"/>
    </row>
    <row r="32" spans="1:8" ht="19.5" customHeight="1">
      <c r="A32" s="40" t="str">
        <f t="shared" si="0"/>
        <v/>
      </c>
      <c r="B32" s="41"/>
      <c r="C32" s="51"/>
      <c r="D32" s="51"/>
      <c r="E32" s="43"/>
      <c r="F32" s="44"/>
      <c r="G32" s="45"/>
      <c r="H32" s="46"/>
    </row>
    <row r="33" spans="1:8" ht="19.5" customHeight="1">
      <c r="A33" s="40" t="str">
        <f t="shared" si="0"/>
        <v/>
      </c>
      <c r="B33" s="41"/>
      <c r="C33" s="51"/>
      <c r="D33" s="51"/>
      <c r="E33" s="43"/>
      <c r="F33" s="44"/>
      <c r="G33" s="45"/>
      <c r="H33" s="46"/>
    </row>
    <row r="34" spans="1:8" ht="19.5" customHeight="1">
      <c r="A34" s="40" t="str">
        <f t="shared" si="0"/>
        <v/>
      </c>
      <c r="B34" s="41"/>
      <c r="C34" s="51"/>
      <c r="D34" s="51"/>
      <c r="E34" s="43"/>
      <c r="F34" s="44"/>
      <c r="G34" s="45"/>
      <c r="H34" s="46"/>
    </row>
    <row r="35" spans="1:8" ht="19.5" customHeight="1">
      <c r="A35" s="40" t="str">
        <f t="shared" si="0"/>
        <v/>
      </c>
      <c r="B35" s="41"/>
      <c r="C35" s="51"/>
      <c r="D35" s="51"/>
      <c r="E35" s="43"/>
      <c r="F35" s="44"/>
      <c r="G35" s="45"/>
      <c r="H35" s="46"/>
    </row>
    <row r="36" spans="1:8" ht="19.5" customHeight="1">
      <c r="A36" s="40" t="str">
        <f t="shared" si="0"/>
        <v/>
      </c>
      <c r="B36" s="41"/>
      <c r="C36" s="51"/>
      <c r="D36" s="51"/>
      <c r="E36" s="43"/>
      <c r="F36" s="44"/>
      <c r="G36" s="45"/>
      <c r="H36" s="46"/>
    </row>
    <row r="37" spans="1:8" ht="19.5" customHeight="1">
      <c r="A37" s="40" t="str">
        <f t="shared" si="0"/>
        <v/>
      </c>
      <c r="B37" s="41"/>
      <c r="C37" s="51"/>
      <c r="D37" s="51"/>
      <c r="E37" s="43"/>
      <c r="F37" s="44"/>
      <c r="G37" s="45"/>
      <c r="H37" s="46"/>
    </row>
    <row r="38" spans="1:8" ht="19.5" customHeight="1">
      <c r="A38" s="40" t="str">
        <f t="shared" si="0"/>
        <v/>
      </c>
      <c r="B38" s="41"/>
      <c r="C38" s="51"/>
      <c r="D38" s="51"/>
      <c r="E38" s="43"/>
      <c r="F38" s="44"/>
      <c r="G38" s="45"/>
      <c r="H38" s="46"/>
    </row>
    <row r="39" spans="1:8" ht="19.5" customHeight="1">
      <c r="A39" s="40" t="str">
        <f t="shared" si="0"/>
        <v/>
      </c>
      <c r="B39" s="41"/>
      <c r="C39" s="51"/>
      <c r="D39" s="51"/>
      <c r="E39" s="43"/>
      <c r="F39" s="44"/>
      <c r="G39" s="45"/>
      <c r="H39" s="46"/>
    </row>
    <row r="40" spans="1:8" ht="19.5" customHeight="1">
      <c r="A40" s="40" t="str">
        <f t="shared" si="0"/>
        <v/>
      </c>
      <c r="B40" s="41"/>
      <c r="C40" s="51"/>
      <c r="D40" s="51"/>
      <c r="E40" s="43"/>
      <c r="F40" s="44"/>
      <c r="G40" s="45"/>
      <c r="H40" s="46"/>
    </row>
    <row r="41" spans="1:8" ht="19.5" customHeight="1">
      <c r="A41" s="40" t="str">
        <f t="shared" si="0"/>
        <v/>
      </c>
      <c r="B41" s="41"/>
      <c r="C41" s="51"/>
      <c r="D41" s="51"/>
      <c r="E41" s="43"/>
      <c r="F41" s="44"/>
      <c r="G41" s="45"/>
      <c r="H41" s="46"/>
    </row>
    <row r="42" spans="1:8" ht="19.5" customHeight="1">
      <c r="A42" s="40" t="str">
        <f t="shared" si="0"/>
        <v/>
      </c>
      <c r="B42" s="41"/>
      <c r="C42" s="51"/>
      <c r="D42" s="51"/>
      <c r="E42" s="43"/>
      <c r="F42" s="44"/>
      <c r="G42" s="45"/>
      <c r="H42" s="46"/>
    </row>
    <row r="43" spans="1:8" ht="19.5" customHeight="1">
      <c r="A43" s="40" t="str">
        <f t="shared" si="0"/>
        <v/>
      </c>
      <c r="B43" s="41"/>
      <c r="C43" s="51"/>
      <c r="D43" s="51"/>
      <c r="E43" s="43"/>
      <c r="F43" s="44"/>
      <c r="G43" s="45"/>
      <c r="H43" s="46"/>
    </row>
    <row r="44" spans="1:8" ht="19.5" customHeight="1">
      <c r="A44" s="40" t="str">
        <f t="shared" si="0"/>
        <v/>
      </c>
      <c r="B44" s="41"/>
      <c r="C44" s="51"/>
      <c r="D44" s="51"/>
      <c r="E44" s="43"/>
      <c r="F44" s="44"/>
      <c r="G44" s="45"/>
    </row>
    <row r="45" spans="1:8" ht="19.5" customHeight="1" thickBot="1"/>
    <row r="46" spans="1:8" ht="19.5" customHeight="1" thickBot="1">
      <c r="B46" s="53" t="s">
        <v>8</v>
      </c>
      <c r="C46" s="54">
        <f>I7</f>
        <v>0</v>
      </c>
    </row>
    <row r="47" spans="1:8" ht="19.5" customHeight="1" thickBot="1">
      <c r="B47" s="55" t="s">
        <v>4</v>
      </c>
      <c r="C47" s="56">
        <f>K7</f>
        <v>0</v>
      </c>
    </row>
  </sheetData>
  <sheetProtection sheet="1" selectLockedCells="1"/>
  <mergeCells count="4">
    <mergeCell ref="A1:B1"/>
    <mergeCell ref="C1:F1"/>
    <mergeCell ref="A2:B2"/>
    <mergeCell ref="C2:F2"/>
  </mergeCells>
  <phoneticPr fontId="1"/>
  <conditionalFormatting sqref="B4:B44">
    <cfRule type="containsText" dxfId="13" priority="2" operator="containsText" text="女子">
      <formula>NOT(ISERROR(SEARCH("女子",B4)))</formula>
    </cfRule>
    <cfRule type="containsText" dxfId="12" priority="3" operator="containsText" text="男子">
      <formula>NOT(ISERROR(SEARCH("男子",B4)))</formula>
    </cfRule>
  </conditionalFormatting>
  <conditionalFormatting sqref="B5:B44">
    <cfRule type="notContainsBlanks" dxfId="11" priority="4">
      <formula>LEN(TRIM(B5))&gt;0</formula>
    </cfRule>
  </conditionalFormatting>
  <conditionalFormatting sqref="C5:G5 F6:G18 C6:E44 F20:G44">
    <cfRule type="notContainsBlanks" dxfId="10" priority="5">
      <formula>LEN(TRIM(C5))&gt;0</formula>
    </cfRule>
  </conditionalFormatting>
  <conditionalFormatting sqref="D5">
    <cfRule type="colorScale" priority="1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B5:B44" xr:uid="{9D485233-B35E-4728-A020-AF2E3B4968FF}">
      <formula1>$H$9:$H$16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D0EE-C17E-48CE-9F77-5E49FEB87982}">
  <sheetPr>
    <tabColor rgb="FFCCFFFF"/>
  </sheetPr>
  <dimension ref="A1:M47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4.265625" style="1" customWidth="1"/>
    <col min="2" max="2" width="11.73046875" customWidth="1"/>
    <col min="3" max="7" width="17.59765625" customWidth="1"/>
    <col min="8" max="8" width="15.86328125" style="2" customWidth="1"/>
  </cols>
  <sheetData>
    <row r="1" spans="1:13" s="3" customFormat="1" ht="19.5" customHeight="1">
      <c r="A1" s="81" t="s">
        <v>0</v>
      </c>
      <c r="B1" s="81"/>
      <c r="C1" s="84" t="str">
        <f>団体名等入力!A3</f>
        <v>第45回　湿原の風オープン選手権／
第14回　ＰＭシニアオープン</v>
      </c>
      <c r="D1" s="84"/>
      <c r="E1" s="84"/>
      <c r="F1" s="84"/>
      <c r="G1" s="84"/>
      <c r="H1" s="84"/>
    </row>
    <row r="2" spans="1:13" ht="19.5" customHeight="1">
      <c r="A2" s="81" t="s">
        <v>3</v>
      </c>
      <c r="B2" s="81"/>
      <c r="C2" s="81" t="str">
        <f>IF(団体名等入力!B3="","",団体名等入力!B3)</f>
        <v/>
      </c>
      <c r="D2" s="81"/>
      <c r="E2" s="81"/>
      <c r="F2" s="81"/>
      <c r="G2" s="81"/>
      <c r="H2" s="81"/>
    </row>
    <row r="3" spans="1:13" ht="19.5" customHeight="1">
      <c r="A3" s="82" t="s">
        <v>72</v>
      </c>
      <c r="B3" s="82"/>
      <c r="C3" s="83"/>
      <c r="D3" s="64" t="s">
        <v>77</v>
      </c>
      <c r="E3" s="1"/>
      <c r="F3" s="1"/>
      <c r="G3" s="1"/>
    </row>
    <row r="4" spans="1:13" s="2" customFormat="1" ht="32.25" customHeight="1">
      <c r="A4" s="58"/>
      <c r="B4" s="59" t="s">
        <v>52</v>
      </c>
      <c r="C4" s="58" t="s">
        <v>68</v>
      </c>
      <c r="D4" s="58" t="s">
        <v>10</v>
      </c>
      <c r="E4" s="58" t="s">
        <v>50</v>
      </c>
      <c r="F4" s="58" t="s">
        <v>69</v>
      </c>
      <c r="G4" s="24" t="s">
        <v>49</v>
      </c>
      <c r="H4" s="58" t="s">
        <v>53</v>
      </c>
    </row>
    <row r="5" spans="1:13" ht="19.5" customHeight="1">
      <c r="A5" s="60" t="str">
        <f>IF(B5="","",1)</f>
        <v/>
      </c>
      <c r="B5" s="61"/>
      <c r="C5" s="62"/>
      <c r="D5" s="62"/>
      <c r="E5" s="61"/>
      <c r="F5" s="61"/>
      <c r="G5" s="61"/>
      <c r="H5" s="63"/>
    </row>
    <row r="6" spans="1:13" ht="19.5" customHeight="1">
      <c r="A6" s="60" t="str">
        <f>IF(B6="","",A5+1)</f>
        <v/>
      </c>
      <c r="B6" s="61"/>
      <c r="C6" s="62"/>
      <c r="D6" s="62"/>
      <c r="E6" s="61"/>
      <c r="F6" s="61"/>
      <c r="G6" s="61"/>
      <c r="H6" s="63"/>
      <c r="I6" s="45"/>
      <c r="J6" s="46"/>
      <c r="K6" s="46" t="s">
        <v>54</v>
      </c>
      <c r="L6" s="46"/>
      <c r="M6" s="46" t="s">
        <v>55</v>
      </c>
    </row>
    <row r="7" spans="1:13" ht="19.5" customHeight="1">
      <c r="A7" s="60" t="str">
        <f t="shared" ref="A7:A44" si="0">IF(B7="","",A6+1)</f>
        <v/>
      </c>
      <c r="B7" s="61"/>
      <c r="C7" s="62"/>
      <c r="D7" s="62"/>
      <c r="E7" s="61"/>
      <c r="F7" s="61"/>
      <c r="G7" s="61"/>
      <c r="H7" s="63"/>
      <c r="I7" s="45"/>
      <c r="J7" s="46"/>
      <c r="K7" s="46">
        <f>SUM(K9:K17)</f>
        <v>0</v>
      </c>
      <c r="L7" s="46"/>
      <c r="M7" s="47">
        <f>SUM(M9:M17)</f>
        <v>0</v>
      </c>
    </row>
    <row r="8" spans="1:13" ht="19.5" customHeight="1">
      <c r="A8" s="60" t="str">
        <f t="shared" si="0"/>
        <v/>
      </c>
      <c r="B8" s="61"/>
      <c r="C8" s="62"/>
      <c r="D8" s="62"/>
      <c r="E8" s="61"/>
      <c r="F8" s="61"/>
      <c r="G8" s="61"/>
      <c r="H8" s="63"/>
      <c r="I8" s="45"/>
      <c r="J8" s="48" t="s">
        <v>56</v>
      </c>
      <c r="K8" s="48" t="s">
        <v>57</v>
      </c>
      <c r="L8" s="48" t="s">
        <v>58</v>
      </c>
      <c r="M8" s="49" t="s">
        <v>59</v>
      </c>
    </row>
    <row r="9" spans="1:13" ht="19.5" customHeight="1">
      <c r="A9" s="60" t="str">
        <f t="shared" si="0"/>
        <v/>
      </c>
      <c r="B9" s="61"/>
      <c r="C9" s="62"/>
      <c r="D9" s="62"/>
      <c r="E9" s="61"/>
      <c r="F9" s="61"/>
      <c r="G9" s="61"/>
      <c r="H9" s="63"/>
      <c r="I9" s="45"/>
      <c r="J9" t="s">
        <v>70</v>
      </c>
      <c r="K9" s="46">
        <f>COUNTIF(A:B,J9)</f>
        <v>0</v>
      </c>
      <c r="L9" s="47">
        <v>1000</v>
      </c>
      <c r="M9" s="47">
        <f>K9*L9</f>
        <v>0</v>
      </c>
    </row>
    <row r="10" spans="1:13" ht="19.5" customHeight="1">
      <c r="A10" s="60" t="str">
        <f t="shared" si="0"/>
        <v/>
      </c>
      <c r="B10" s="61"/>
      <c r="C10" s="62"/>
      <c r="D10" s="62"/>
      <c r="E10" s="61"/>
      <c r="F10" s="61"/>
      <c r="G10" s="61"/>
      <c r="H10" s="63"/>
      <c r="I10" s="45"/>
      <c r="J10" s="46" t="s">
        <v>60</v>
      </c>
      <c r="K10" s="46">
        <f>COUNTIF(A:B,J10)</f>
        <v>0</v>
      </c>
      <c r="L10" s="47">
        <v>1000</v>
      </c>
      <c r="M10" s="47">
        <f>K10*L10</f>
        <v>0</v>
      </c>
    </row>
    <row r="11" spans="1:13" ht="19.5" customHeight="1">
      <c r="A11" s="60" t="str">
        <f t="shared" si="0"/>
        <v/>
      </c>
      <c r="B11" s="61"/>
      <c r="C11" s="62"/>
      <c r="D11" s="62"/>
      <c r="E11" s="61"/>
      <c r="F11" s="61"/>
      <c r="G11" s="61"/>
      <c r="H11" s="63"/>
      <c r="I11" s="45"/>
      <c r="J11" s="46" t="s">
        <v>61</v>
      </c>
      <c r="K11" s="46">
        <f>COUNTIF(A:B,J11)</f>
        <v>0</v>
      </c>
      <c r="L11" s="47">
        <v>1000</v>
      </c>
      <c r="M11" s="47">
        <f>K11*L11</f>
        <v>0</v>
      </c>
    </row>
    <row r="12" spans="1:13" ht="19.5" customHeight="1">
      <c r="A12" s="60" t="str">
        <f t="shared" si="0"/>
        <v/>
      </c>
      <c r="B12" s="61"/>
      <c r="C12" s="62"/>
      <c r="D12" s="62"/>
      <c r="E12" s="61"/>
      <c r="F12" s="61"/>
      <c r="G12" s="61"/>
      <c r="H12" s="63"/>
      <c r="I12" s="45"/>
      <c r="J12" s="46" t="s">
        <v>62</v>
      </c>
      <c r="K12" s="46">
        <f t="shared" ref="K12" si="1">COUNTIF(A:B,J12)</f>
        <v>0</v>
      </c>
      <c r="L12">
        <v>800</v>
      </c>
      <c r="M12" s="47">
        <f t="shared" ref="M12:M17" si="2">K12*L12</f>
        <v>0</v>
      </c>
    </row>
    <row r="13" spans="1:13" ht="19.5" customHeight="1">
      <c r="A13" s="60" t="str">
        <f t="shared" si="0"/>
        <v/>
      </c>
      <c r="B13" s="61"/>
      <c r="C13" s="62"/>
      <c r="D13" s="62"/>
      <c r="E13" s="61"/>
      <c r="F13" s="61"/>
      <c r="G13" s="61"/>
      <c r="H13" s="63"/>
      <c r="I13" s="45"/>
      <c r="J13" s="50" t="s">
        <v>63</v>
      </c>
      <c r="K13" s="46">
        <f>COUNTIF(A:B,J13)</f>
        <v>0</v>
      </c>
      <c r="L13">
        <v>800</v>
      </c>
      <c r="M13" s="47">
        <f t="shared" si="2"/>
        <v>0</v>
      </c>
    </row>
    <row r="14" spans="1:13" ht="19.5" customHeight="1">
      <c r="A14" s="60" t="str">
        <f t="shared" si="0"/>
        <v/>
      </c>
      <c r="B14" s="61"/>
      <c r="C14" s="62"/>
      <c r="D14" s="62"/>
      <c r="E14" s="61"/>
      <c r="F14" s="61"/>
      <c r="G14" s="61"/>
      <c r="H14" s="63"/>
      <c r="I14" s="45"/>
      <c r="J14" s="50" t="s">
        <v>64</v>
      </c>
      <c r="K14" s="46">
        <f>COUNTIF(A:B,J14)</f>
        <v>0</v>
      </c>
      <c r="L14">
        <v>800</v>
      </c>
      <c r="M14" s="47">
        <f t="shared" si="2"/>
        <v>0</v>
      </c>
    </row>
    <row r="15" spans="1:13" ht="19.5" customHeight="1">
      <c r="A15" s="60" t="str">
        <f t="shared" si="0"/>
        <v/>
      </c>
      <c r="B15" s="61"/>
      <c r="C15" s="62"/>
      <c r="D15" s="62"/>
      <c r="E15" s="61"/>
      <c r="F15" s="61"/>
      <c r="G15" s="61"/>
      <c r="H15" s="63"/>
      <c r="I15" s="45"/>
      <c r="J15" s="50" t="s">
        <v>65</v>
      </c>
      <c r="K15" s="46">
        <f>COUNTIF(A:B,J15)</f>
        <v>0</v>
      </c>
      <c r="L15">
        <v>800</v>
      </c>
      <c r="M15" s="47">
        <f t="shared" si="2"/>
        <v>0</v>
      </c>
    </row>
    <row r="16" spans="1:13" ht="19.5" customHeight="1">
      <c r="A16" s="60" t="str">
        <f t="shared" si="0"/>
        <v/>
      </c>
      <c r="B16" s="61"/>
      <c r="C16" s="62"/>
      <c r="D16" s="62"/>
      <c r="E16" s="61"/>
      <c r="F16" s="61"/>
      <c r="G16" s="61"/>
      <c r="H16" s="63"/>
      <c r="I16" s="45"/>
      <c r="J16" s="50" t="s">
        <v>71</v>
      </c>
      <c r="K16" s="46">
        <f>COUNTIF(A:B,J16)</f>
        <v>0</v>
      </c>
      <c r="L16">
        <v>800</v>
      </c>
      <c r="M16" s="47">
        <f t="shared" si="2"/>
        <v>0</v>
      </c>
    </row>
    <row r="17" spans="1:13" ht="19.5" customHeight="1">
      <c r="A17" s="60" t="str">
        <f t="shared" si="0"/>
        <v/>
      </c>
      <c r="B17" s="61"/>
      <c r="C17" s="62"/>
      <c r="D17" s="62"/>
      <c r="E17" s="61"/>
      <c r="F17" s="61"/>
      <c r="G17" s="61"/>
      <c r="H17" s="63"/>
      <c r="I17" s="45"/>
      <c r="J17" s="50" t="s">
        <v>67</v>
      </c>
      <c r="K17" s="46">
        <f>COUNTIF(A:B,J17)</f>
        <v>0</v>
      </c>
      <c r="L17">
        <v>800</v>
      </c>
      <c r="M17" s="47">
        <f t="shared" si="2"/>
        <v>0</v>
      </c>
    </row>
    <row r="18" spans="1:13" ht="19.5" customHeight="1">
      <c r="A18" s="60" t="str">
        <f t="shared" si="0"/>
        <v/>
      </c>
      <c r="B18" s="61"/>
      <c r="C18" s="62"/>
      <c r="D18" s="62"/>
      <c r="E18" s="61"/>
      <c r="F18" s="61"/>
      <c r="G18" s="61"/>
      <c r="H18" s="63"/>
      <c r="K18" s="46"/>
    </row>
    <row r="19" spans="1:13" ht="19.5" customHeight="1">
      <c r="A19" s="60" t="str">
        <f t="shared" si="0"/>
        <v/>
      </c>
      <c r="B19" s="61"/>
      <c r="C19" s="62"/>
      <c r="D19" s="62"/>
      <c r="E19" s="61"/>
      <c r="F19" s="61"/>
      <c r="G19" s="61"/>
      <c r="H19" s="63"/>
    </row>
    <row r="20" spans="1:13" ht="19.5" customHeight="1">
      <c r="A20" s="60" t="str">
        <f t="shared" si="0"/>
        <v/>
      </c>
      <c r="B20" s="61"/>
      <c r="C20" s="62"/>
      <c r="D20" s="62"/>
      <c r="E20" s="61"/>
      <c r="F20" s="61"/>
      <c r="G20" s="61"/>
      <c r="H20" s="63"/>
    </row>
    <row r="21" spans="1:13" ht="19.5" customHeight="1">
      <c r="A21" s="60" t="str">
        <f t="shared" si="0"/>
        <v/>
      </c>
      <c r="B21" s="61"/>
      <c r="C21" s="62"/>
      <c r="D21" s="62"/>
      <c r="E21" s="61"/>
      <c r="F21" s="61"/>
      <c r="G21" s="61"/>
      <c r="H21" s="63"/>
    </row>
    <row r="22" spans="1:13" ht="19.5" customHeight="1">
      <c r="A22" s="60" t="str">
        <f t="shared" si="0"/>
        <v/>
      </c>
      <c r="B22" s="61"/>
      <c r="C22" s="62"/>
      <c r="D22" s="62"/>
      <c r="E22" s="61"/>
      <c r="F22" s="61"/>
      <c r="G22" s="61"/>
      <c r="H22" s="63"/>
    </row>
    <row r="23" spans="1:13" ht="19.5" customHeight="1">
      <c r="A23" s="60" t="str">
        <f t="shared" si="0"/>
        <v/>
      </c>
      <c r="B23" s="61"/>
      <c r="C23" s="62"/>
      <c r="D23" s="62"/>
      <c r="E23" s="61"/>
      <c r="F23" s="61"/>
      <c r="G23" s="61"/>
      <c r="H23" s="63"/>
    </row>
    <row r="24" spans="1:13" ht="19.5" customHeight="1">
      <c r="A24" s="60" t="str">
        <f t="shared" si="0"/>
        <v/>
      </c>
      <c r="B24" s="61"/>
      <c r="C24" s="62"/>
      <c r="D24" s="62"/>
      <c r="E24" s="61"/>
      <c r="F24" s="61"/>
      <c r="G24" s="61"/>
      <c r="H24" s="63"/>
    </row>
    <row r="25" spans="1:13" ht="19.5" customHeight="1">
      <c r="A25" s="60" t="str">
        <f t="shared" si="0"/>
        <v/>
      </c>
      <c r="B25" s="61"/>
      <c r="C25" s="62"/>
      <c r="D25" s="62"/>
      <c r="E25" s="61"/>
      <c r="F25" s="61"/>
      <c r="G25" s="61"/>
      <c r="H25" s="63"/>
    </row>
    <row r="26" spans="1:13" ht="19.5" customHeight="1">
      <c r="A26" s="60" t="str">
        <f t="shared" si="0"/>
        <v/>
      </c>
      <c r="B26" s="61"/>
      <c r="C26" s="62"/>
      <c r="D26" s="62"/>
      <c r="E26" s="61"/>
      <c r="F26" s="61"/>
      <c r="G26" s="61"/>
      <c r="H26" s="63"/>
    </row>
    <row r="27" spans="1:13" ht="19.5" customHeight="1">
      <c r="A27" s="60" t="str">
        <f t="shared" si="0"/>
        <v/>
      </c>
      <c r="B27" s="61"/>
      <c r="C27" s="62"/>
      <c r="D27" s="62"/>
      <c r="E27" s="61"/>
      <c r="F27" s="61"/>
      <c r="G27" s="61"/>
      <c r="H27" s="63"/>
    </row>
    <row r="28" spans="1:13" ht="19.5" customHeight="1">
      <c r="A28" s="60" t="str">
        <f t="shared" si="0"/>
        <v/>
      </c>
      <c r="B28" s="61"/>
      <c r="C28" s="62"/>
      <c r="D28" s="62"/>
      <c r="E28" s="61"/>
      <c r="F28" s="61"/>
      <c r="G28" s="61"/>
      <c r="H28" s="63"/>
    </row>
    <row r="29" spans="1:13" ht="19.5" customHeight="1">
      <c r="A29" s="60" t="str">
        <f t="shared" si="0"/>
        <v/>
      </c>
      <c r="B29" s="61"/>
      <c r="C29" s="62"/>
      <c r="D29" s="62"/>
      <c r="E29" s="61"/>
      <c r="F29" s="61"/>
      <c r="G29" s="61"/>
      <c r="H29" s="63"/>
    </row>
    <row r="30" spans="1:13" ht="19.5" customHeight="1">
      <c r="A30" s="60" t="str">
        <f t="shared" si="0"/>
        <v/>
      </c>
      <c r="B30" s="61"/>
      <c r="C30" s="62"/>
      <c r="D30" s="62"/>
      <c r="E30" s="61"/>
      <c r="F30" s="61"/>
      <c r="G30" s="61"/>
      <c r="H30" s="63"/>
    </row>
    <row r="31" spans="1:13" ht="19.5" customHeight="1">
      <c r="A31" s="60" t="str">
        <f t="shared" si="0"/>
        <v/>
      </c>
      <c r="B31" s="61"/>
      <c r="C31" s="62"/>
      <c r="D31" s="62"/>
      <c r="E31" s="61"/>
      <c r="F31" s="61"/>
      <c r="G31" s="61"/>
      <c r="H31" s="63"/>
    </row>
    <row r="32" spans="1:13" ht="19.5" customHeight="1">
      <c r="A32" s="60" t="str">
        <f t="shared" si="0"/>
        <v/>
      </c>
      <c r="B32" s="61"/>
      <c r="C32" s="62"/>
      <c r="D32" s="62"/>
      <c r="E32" s="61"/>
      <c r="F32" s="61"/>
      <c r="G32" s="61"/>
      <c r="H32" s="63"/>
    </row>
    <row r="33" spans="1:8" ht="19.5" customHeight="1">
      <c r="A33" s="60" t="str">
        <f t="shared" si="0"/>
        <v/>
      </c>
      <c r="B33" s="61"/>
      <c r="C33" s="62"/>
      <c r="D33" s="62"/>
      <c r="E33" s="61"/>
      <c r="F33" s="61"/>
      <c r="G33" s="61"/>
      <c r="H33" s="63"/>
    </row>
    <row r="34" spans="1:8" ht="19.5" customHeight="1">
      <c r="A34" s="60" t="str">
        <f t="shared" si="0"/>
        <v/>
      </c>
      <c r="B34" s="61"/>
      <c r="C34" s="62"/>
      <c r="D34" s="62"/>
      <c r="E34" s="61"/>
      <c r="F34" s="61"/>
      <c r="G34" s="61"/>
      <c r="H34" s="63"/>
    </row>
    <row r="35" spans="1:8" ht="19.5" customHeight="1">
      <c r="A35" s="60" t="str">
        <f t="shared" si="0"/>
        <v/>
      </c>
      <c r="B35" s="61"/>
      <c r="C35" s="62"/>
      <c r="D35" s="62"/>
      <c r="E35" s="61"/>
      <c r="F35" s="61"/>
      <c r="G35" s="61"/>
      <c r="H35" s="63"/>
    </row>
    <row r="36" spans="1:8" ht="19.5" customHeight="1">
      <c r="A36" s="60" t="str">
        <f t="shared" si="0"/>
        <v/>
      </c>
      <c r="B36" s="61"/>
      <c r="C36" s="62"/>
      <c r="D36" s="62"/>
      <c r="E36" s="61"/>
      <c r="F36" s="61"/>
      <c r="G36" s="61"/>
      <c r="H36" s="63"/>
    </row>
    <row r="37" spans="1:8" ht="19.5" customHeight="1">
      <c r="A37" s="60" t="str">
        <f t="shared" si="0"/>
        <v/>
      </c>
      <c r="B37" s="61"/>
      <c r="C37" s="62"/>
      <c r="D37" s="62"/>
      <c r="E37" s="61"/>
      <c r="F37" s="61"/>
      <c r="G37" s="61"/>
      <c r="H37" s="63"/>
    </row>
    <row r="38" spans="1:8" ht="19.5" customHeight="1">
      <c r="A38" s="60" t="str">
        <f t="shared" si="0"/>
        <v/>
      </c>
      <c r="B38" s="61"/>
      <c r="C38" s="62"/>
      <c r="D38" s="62"/>
      <c r="E38" s="61"/>
      <c r="F38" s="61"/>
      <c r="G38" s="61"/>
      <c r="H38" s="63"/>
    </row>
    <row r="39" spans="1:8" ht="19.5" customHeight="1">
      <c r="A39" s="60" t="str">
        <f t="shared" si="0"/>
        <v/>
      </c>
      <c r="B39" s="61"/>
      <c r="C39" s="62"/>
      <c r="D39" s="62"/>
      <c r="E39" s="61"/>
      <c r="F39" s="61"/>
      <c r="G39" s="61"/>
      <c r="H39" s="63"/>
    </row>
    <row r="40" spans="1:8" ht="19.5" customHeight="1">
      <c r="A40" s="60" t="str">
        <f t="shared" si="0"/>
        <v/>
      </c>
      <c r="B40" s="61"/>
      <c r="C40" s="62"/>
      <c r="D40" s="62"/>
      <c r="E40" s="61"/>
      <c r="F40" s="61"/>
      <c r="G40" s="61"/>
      <c r="H40" s="63"/>
    </row>
    <row r="41" spans="1:8" ht="19.5" customHeight="1">
      <c r="A41" s="60" t="str">
        <f t="shared" si="0"/>
        <v/>
      </c>
      <c r="B41" s="61"/>
      <c r="C41" s="62"/>
      <c r="D41" s="62"/>
      <c r="E41" s="61"/>
      <c r="F41" s="61"/>
      <c r="G41" s="61"/>
      <c r="H41" s="63"/>
    </row>
    <row r="42" spans="1:8" ht="19.5" customHeight="1">
      <c r="A42" s="60" t="str">
        <f t="shared" si="0"/>
        <v/>
      </c>
      <c r="B42" s="61"/>
      <c r="C42" s="62"/>
      <c r="D42" s="62"/>
      <c r="E42" s="61"/>
      <c r="F42" s="61"/>
      <c r="G42" s="61"/>
      <c r="H42" s="63"/>
    </row>
    <row r="43" spans="1:8" ht="19.5" customHeight="1">
      <c r="A43" s="60" t="str">
        <f t="shared" si="0"/>
        <v/>
      </c>
      <c r="B43" s="61"/>
      <c r="C43" s="62"/>
      <c r="D43" s="62"/>
      <c r="E43" s="61"/>
      <c r="F43" s="61"/>
      <c r="G43" s="61"/>
      <c r="H43" s="72"/>
    </row>
    <row r="44" spans="1:8" ht="19.5" customHeight="1">
      <c r="A44" s="60" t="str">
        <f t="shared" si="0"/>
        <v/>
      </c>
      <c r="B44" s="61"/>
      <c r="C44" s="62"/>
      <c r="D44" s="62"/>
      <c r="E44" s="61"/>
      <c r="F44" s="61"/>
      <c r="G44" s="61"/>
      <c r="H44" s="63"/>
    </row>
    <row r="45" spans="1:8" ht="19.5" customHeight="1" thickBot="1"/>
    <row r="46" spans="1:8" ht="19.5" customHeight="1" thickBot="1">
      <c r="B46" s="53" t="s">
        <v>8</v>
      </c>
      <c r="C46" s="54">
        <f>K7</f>
        <v>0</v>
      </c>
    </row>
    <row r="47" spans="1:8" ht="19.5" customHeight="1" thickBot="1">
      <c r="B47" s="55" t="s">
        <v>4</v>
      </c>
      <c r="C47" s="56">
        <f>M7</f>
        <v>0</v>
      </c>
    </row>
  </sheetData>
  <sheetProtection sheet="1" selectLockedCells="1"/>
  <mergeCells count="5">
    <mergeCell ref="A1:B1"/>
    <mergeCell ref="A2:B2"/>
    <mergeCell ref="A3:C3"/>
    <mergeCell ref="C1:H1"/>
    <mergeCell ref="C2:H2"/>
  </mergeCells>
  <phoneticPr fontId="1"/>
  <conditionalFormatting sqref="B4:B44">
    <cfRule type="containsText" dxfId="9" priority="4" operator="containsText" text="混合">
      <formula>NOT(ISERROR(SEARCH("混合",B4)))</formula>
    </cfRule>
    <cfRule type="containsText" dxfId="8" priority="5" operator="containsText" text="女子">
      <formula>NOT(ISERROR(SEARCH("女子",B4)))</formula>
    </cfRule>
    <cfRule type="containsText" dxfId="7" priority="6" operator="containsText" text="男子">
      <formula>NOT(ISERROR(SEARCH("男子",B4)))</formula>
    </cfRule>
  </conditionalFormatting>
  <conditionalFormatting sqref="B5:F44 G5:H42 G43 G44:H44">
    <cfRule type="notContainsBlanks" dxfId="6" priority="7">
      <formula>LEN(TRIM(B5))&gt;0</formula>
    </cfRule>
  </conditionalFormatting>
  <conditionalFormatting sqref="I6:I17">
    <cfRule type="notContainsBlanks" dxfId="5" priority="3">
      <formula>LEN(TRIM(I6))&gt;0</formula>
    </cfRule>
  </conditionalFormatting>
  <dataValidations count="1">
    <dataValidation type="list" allowBlank="1" showInputMessage="1" showErrorMessage="1" sqref="B5:B44" xr:uid="{C9755B38-03B5-4181-83A2-6AFF2B5C8C1B}">
      <formula1>$J$10:$J$17</formula1>
    </dataValidation>
  </dataValidations>
  <pageMargins left="0.7" right="0.7" top="0.75" bottom="0.75" header="0.3" footer="0.3"/>
  <pageSetup paperSize="9" scale="9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D84F-0C94-4598-BBD3-F44D47369044}">
  <sheetPr>
    <tabColor theme="9" tint="0.79998168889431442"/>
  </sheetPr>
  <dimension ref="A1:L44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4.265625" style="1" customWidth="1"/>
    <col min="2" max="2" width="13.265625" customWidth="1"/>
    <col min="3" max="5" width="17.46484375" customWidth="1"/>
    <col min="6" max="6" width="13.73046875" style="2" customWidth="1"/>
    <col min="7" max="7" width="17.1328125" customWidth="1"/>
    <col min="8" max="8" width="7" customWidth="1"/>
  </cols>
  <sheetData>
    <row r="1" spans="1:12" s="3" customFormat="1" ht="19.5" customHeight="1">
      <c r="A1" s="85" t="s">
        <v>0</v>
      </c>
      <c r="B1" s="85"/>
      <c r="C1" s="86" t="str">
        <f>団体名等入力!A3</f>
        <v>第45回　湿原の風オープン選手権／
第14回　ＰＭシニアオープン</v>
      </c>
      <c r="D1" s="86"/>
      <c r="E1" s="86"/>
      <c r="F1" s="86"/>
      <c r="G1" s="86"/>
    </row>
    <row r="2" spans="1:12" ht="19.5" customHeight="1">
      <c r="A2" s="85" t="s">
        <v>2</v>
      </c>
      <c r="B2" s="85"/>
      <c r="C2" s="85" t="str">
        <f>IF(団体名等入力!B3="","",団体名等入力!B3)</f>
        <v/>
      </c>
      <c r="D2" s="85"/>
      <c r="E2" s="85"/>
      <c r="F2" s="85"/>
      <c r="G2" s="85"/>
    </row>
    <row r="3" spans="1:12" ht="19.5" customHeight="1">
      <c r="A3" s="65" t="s">
        <v>51</v>
      </c>
      <c r="B3" s="65"/>
      <c r="C3" s="1"/>
      <c r="D3" s="1"/>
      <c r="E3" s="1"/>
    </row>
    <row r="4" spans="1:12" s="2" customFormat="1" ht="33.75" customHeight="1">
      <c r="A4" s="66"/>
      <c r="B4" s="67" t="s">
        <v>52</v>
      </c>
      <c r="C4" s="66" t="s">
        <v>1</v>
      </c>
      <c r="D4" s="66" t="s">
        <v>2</v>
      </c>
      <c r="E4" s="14" t="s">
        <v>49</v>
      </c>
      <c r="F4" s="68" t="s">
        <v>73</v>
      </c>
      <c r="G4" s="66" t="s">
        <v>53</v>
      </c>
    </row>
    <row r="5" spans="1:12" ht="19.5" customHeight="1">
      <c r="A5" s="69" t="str">
        <f>IF(B5="","",1)</f>
        <v/>
      </c>
      <c r="B5" s="41"/>
      <c r="C5" s="42"/>
      <c r="D5" s="43"/>
      <c r="E5" s="61"/>
      <c r="F5" s="43"/>
      <c r="G5" s="44"/>
    </row>
    <row r="6" spans="1:12" ht="19.5" customHeight="1">
      <c r="A6" s="69" t="str">
        <f>IF(B6="","",A5+1)</f>
        <v/>
      </c>
      <c r="B6" s="41"/>
      <c r="C6" s="42"/>
      <c r="D6" s="43"/>
      <c r="E6" s="61"/>
      <c r="F6" s="43"/>
      <c r="G6" s="44"/>
    </row>
    <row r="7" spans="1:12" ht="19.5" customHeight="1">
      <c r="A7" s="69" t="str">
        <f t="shared" ref="A7:A24" si="0">IF(B7="","",A6+1)</f>
        <v/>
      </c>
      <c r="B7" s="41"/>
      <c r="C7" s="42"/>
      <c r="D7" s="43"/>
      <c r="E7" s="61"/>
      <c r="F7" s="43"/>
      <c r="G7" s="44"/>
      <c r="I7" s="46"/>
      <c r="J7" s="46" t="s">
        <v>54</v>
      </c>
      <c r="K7" s="46"/>
      <c r="L7" s="46" t="s">
        <v>55</v>
      </c>
    </row>
    <row r="8" spans="1:12" ht="19.5" customHeight="1">
      <c r="A8" s="69" t="str">
        <f t="shared" si="0"/>
        <v/>
      </c>
      <c r="B8" s="41"/>
      <c r="C8" s="42"/>
      <c r="D8" s="43"/>
      <c r="E8" s="61"/>
      <c r="F8" s="43"/>
      <c r="G8" s="44"/>
      <c r="I8" s="46"/>
      <c r="J8" s="46">
        <f>SUM(J10:J11)</f>
        <v>0</v>
      </c>
      <c r="K8" s="46"/>
      <c r="L8" s="47">
        <f>SUM(L10:L11)</f>
        <v>0</v>
      </c>
    </row>
    <row r="9" spans="1:12" ht="19.5" customHeight="1">
      <c r="A9" s="69" t="str">
        <f t="shared" si="0"/>
        <v/>
      </c>
      <c r="B9" s="41"/>
      <c r="C9" s="42"/>
      <c r="D9" s="43"/>
      <c r="E9" s="61"/>
      <c r="F9" s="43"/>
      <c r="G9" s="44"/>
      <c r="I9" s="48" t="s">
        <v>56</v>
      </c>
      <c r="J9" s="48" t="s">
        <v>57</v>
      </c>
      <c r="K9" s="48" t="s">
        <v>58</v>
      </c>
      <c r="L9" s="49" t="s">
        <v>59</v>
      </c>
    </row>
    <row r="10" spans="1:12" ht="19.5" customHeight="1">
      <c r="A10" s="69" t="str">
        <f t="shared" si="0"/>
        <v/>
      </c>
      <c r="B10" s="41"/>
      <c r="C10" s="42"/>
      <c r="D10" s="43"/>
      <c r="E10" s="61"/>
      <c r="F10" s="43"/>
      <c r="G10" s="44"/>
      <c r="I10" s="50" t="s">
        <v>60</v>
      </c>
      <c r="J10" s="46">
        <f>COUNTIF(A:B,I10)</f>
        <v>0</v>
      </c>
      <c r="K10" s="47">
        <v>700</v>
      </c>
      <c r="L10" s="47">
        <f>J10*K10</f>
        <v>0</v>
      </c>
    </row>
    <row r="11" spans="1:12" ht="19.5" customHeight="1">
      <c r="A11" s="69" t="str">
        <f t="shared" si="0"/>
        <v/>
      </c>
      <c r="B11" s="41"/>
      <c r="C11" s="42"/>
      <c r="D11" s="43"/>
      <c r="E11" s="61"/>
      <c r="F11" s="43"/>
      <c r="G11" s="44"/>
      <c r="I11" s="50" t="s">
        <v>61</v>
      </c>
      <c r="J11" s="46">
        <f>COUNTIF(A:B,I11)</f>
        <v>0</v>
      </c>
      <c r="K11" s="47">
        <v>700</v>
      </c>
      <c r="L11" s="47">
        <f>J11*K11</f>
        <v>0</v>
      </c>
    </row>
    <row r="12" spans="1:12" ht="19.5" customHeight="1">
      <c r="A12" s="69" t="str">
        <f t="shared" si="0"/>
        <v/>
      </c>
      <c r="B12" s="41"/>
      <c r="C12" s="42"/>
      <c r="D12" s="43"/>
      <c r="E12" s="61"/>
      <c r="F12" s="43"/>
      <c r="G12" s="44"/>
    </row>
    <row r="13" spans="1:12" ht="19.5" customHeight="1">
      <c r="A13" s="69" t="str">
        <f t="shared" si="0"/>
        <v/>
      </c>
      <c r="B13" s="41"/>
      <c r="C13" s="42"/>
      <c r="D13" s="43"/>
      <c r="E13" s="61"/>
      <c r="F13" s="43"/>
      <c r="G13" s="44"/>
    </row>
    <row r="14" spans="1:12" ht="19.5" customHeight="1">
      <c r="A14" s="69" t="str">
        <f t="shared" si="0"/>
        <v/>
      </c>
      <c r="B14" s="41"/>
      <c r="C14" s="42"/>
      <c r="D14" s="43"/>
      <c r="E14" s="61"/>
      <c r="F14" s="43"/>
      <c r="G14" s="44"/>
    </row>
    <row r="15" spans="1:12" ht="19.5" customHeight="1">
      <c r="A15" s="69" t="str">
        <f t="shared" si="0"/>
        <v/>
      </c>
      <c r="B15" s="41"/>
      <c r="C15" s="42"/>
      <c r="D15" s="43"/>
      <c r="E15" s="61"/>
      <c r="F15" s="43"/>
      <c r="G15" s="44"/>
    </row>
    <row r="16" spans="1:12" ht="19.5" customHeight="1">
      <c r="A16" s="69" t="str">
        <f t="shared" si="0"/>
        <v/>
      </c>
      <c r="B16" s="41"/>
      <c r="C16" s="42"/>
      <c r="D16" s="43"/>
      <c r="E16" s="61"/>
      <c r="F16" s="43"/>
      <c r="G16" s="44"/>
    </row>
    <row r="17" spans="1:7" ht="19.5" customHeight="1">
      <c r="A17" s="69" t="str">
        <f t="shared" si="0"/>
        <v/>
      </c>
      <c r="B17" s="41"/>
      <c r="C17" s="42"/>
      <c r="D17" s="43"/>
      <c r="E17" s="61"/>
      <c r="F17" s="43"/>
      <c r="G17" s="44"/>
    </row>
    <row r="18" spans="1:7" ht="19.5" customHeight="1">
      <c r="A18" s="69" t="str">
        <f t="shared" si="0"/>
        <v/>
      </c>
      <c r="B18" s="41"/>
      <c r="C18" s="42"/>
      <c r="D18" s="43"/>
      <c r="E18" s="61"/>
      <c r="F18" s="43"/>
      <c r="G18" s="44"/>
    </row>
    <row r="19" spans="1:7" ht="19.5" customHeight="1">
      <c r="A19" s="69" t="str">
        <f t="shared" si="0"/>
        <v/>
      </c>
      <c r="B19" s="41"/>
      <c r="C19" s="42"/>
      <c r="D19" s="43"/>
      <c r="E19" s="61"/>
      <c r="F19" s="43"/>
      <c r="G19" s="44"/>
    </row>
    <row r="20" spans="1:7" ht="19.5" customHeight="1">
      <c r="A20" s="69" t="str">
        <f t="shared" si="0"/>
        <v/>
      </c>
      <c r="B20" s="41"/>
      <c r="C20" s="42"/>
      <c r="D20" s="43"/>
      <c r="E20" s="61"/>
      <c r="F20" s="43"/>
      <c r="G20" s="44"/>
    </row>
    <row r="21" spans="1:7" ht="19.5" customHeight="1">
      <c r="A21" s="69" t="str">
        <f t="shared" si="0"/>
        <v/>
      </c>
      <c r="B21" s="41"/>
      <c r="C21" s="42"/>
      <c r="D21" s="43"/>
      <c r="E21" s="61"/>
      <c r="F21" s="43"/>
      <c r="G21" s="44"/>
    </row>
    <row r="22" spans="1:7" ht="19.5" customHeight="1">
      <c r="A22" s="69" t="str">
        <f t="shared" si="0"/>
        <v/>
      </c>
      <c r="B22" s="41"/>
      <c r="C22" s="42"/>
      <c r="D22" s="43"/>
      <c r="E22" s="61"/>
      <c r="F22" s="43"/>
      <c r="G22" s="44"/>
    </row>
    <row r="23" spans="1:7" ht="19.5" customHeight="1">
      <c r="A23" s="69" t="str">
        <f t="shared" si="0"/>
        <v/>
      </c>
      <c r="B23" s="41"/>
      <c r="C23" s="42"/>
      <c r="D23" s="43"/>
      <c r="E23" s="61"/>
      <c r="F23" s="43"/>
      <c r="G23" s="44"/>
    </row>
    <row r="24" spans="1:7" ht="19.5" customHeight="1">
      <c r="A24" s="69" t="str">
        <f t="shared" si="0"/>
        <v/>
      </c>
      <c r="B24" s="41"/>
      <c r="C24" s="42"/>
      <c r="D24" s="43"/>
      <c r="E24" s="61"/>
      <c r="F24" s="43"/>
      <c r="G24" s="44"/>
    </row>
    <row r="25" spans="1:7" ht="19.5" customHeight="1" thickBot="1">
      <c r="E25" s="70"/>
      <c r="F25" s="71"/>
    </row>
    <row r="26" spans="1:7" ht="19.5" customHeight="1" thickBot="1">
      <c r="B26" s="53" t="s">
        <v>8</v>
      </c>
      <c r="C26" s="54">
        <f>J8</f>
        <v>0</v>
      </c>
      <c r="E26" s="70"/>
    </row>
    <row r="27" spans="1:7" ht="19.5" customHeight="1" thickBot="1">
      <c r="B27" s="55" t="s">
        <v>4</v>
      </c>
      <c r="C27" s="56">
        <f>L8</f>
        <v>0</v>
      </c>
      <c r="E27" s="70"/>
    </row>
    <row r="28" spans="1:7" ht="19.5" customHeight="1">
      <c r="C28" ph="1"/>
      <c r="E28" s="70"/>
    </row>
    <row r="29" spans="1:7" ht="19.5" customHeight="1">
      <c r="C29" ph="1"/>
      <c r="E29" s="70"/>
    </row>
    <row r="30" spans="1:7" ht="19.5" customHeight="1">
      <c r="C30" ph="1"/>
      <c r="E30" s="70"/>
    </row>
    <row r="31" spans="1:7" ht="19.5" customHeight="1">
      <c r="C31" ph="1"/>
      <c r="E31" s="70"/>
    </row>
    <row r="32" spans="1:7" ht="19.5" customHeight="1">
      <c r="C32" ph="1"/>
      <c r="E32" s="70"/>
    </row>
    <row r="33" spans="3:5" ht="19.5" customHeight="1">
      <c r="C33" ph="1"/>
      <c r="E33" s="70"/>
    </row>
    <row r="34" spans="3:5" ht="19.5" customHeight="1">
      <c r="C34" ph="1"/>
      <c r="E34" s="70"/>
    </row>
    <row r="35" spans="3:5" ht="19.5" customHeight="1">
      <c r="C35" ph="1"/>
      <c r="E35" s="70"/>
    </row>
    <row r="36" spans="3:5" ht="19.5" customHeight="1">
      <c r="C36" ph="1"/>
      <c r="E36" s="70"/>
    </row>
    <row r="37" spans="3:5" ht="19.5" customHeight="1">
      <c r="C37" ph="1"/>
      <c r="E37" s="70"/>
    </row>
    <row r="38" spans="3:5" ht="19.5" customHeight="1">
      <c r="C38" ph="1"/>
      <c r="E38" s="70"/>
    </row>
    <row r="39" spans="3:5" ht="19.5" customHeight="1">
      <c r="E39" s="70"/>
    </row>
    <row r="40" spans="3:5" ht="19.5" customHeight="1">
      <c r="E40" s="70"/>
    </row>
    <row r="41" spans="3:5" ht="19.5" customHeight="1">
      <c r="E41" s="70"/>
    </row>
    <row r="42" spans="3:5" ht="19.5" customHeight="1">
      <c r="E42" s="70"/>
    </row>
    <row r="43" spans="3:5" ht="19.5" customHeight="1">
      <c r="E43" s="70"/>
    </row>
    <row r="44" spans="3:5" ht="19.5" customHeight="1">
      <c r="E44" s="70"/>
    </row>
  </sheetData>
  <sheetProtection sheet="1" selectLockedCells="1"/>
  <mergeCells count="4">
    <mergeCell ref="A1:B1"/>
    <mergeCell ref="A2:B2"/>
    <mergeCell ref="C1:G1"/>
    <mergeCell ref="C2:G2"/>
  </mergeCells>
  <phoneticPr fontId="1"/>
  <conditionalFormatting sqref="B4:B24">
    <cfRule type="containsText" dxfId="4" priority="3" operator="containsText" text="女子">
      <formula>NOT(ISERROR(SEARCH("女子",B4)))</formula>
    </cfRule>
    <cfRule type="containsText" dxfId="3" priority="4" operator="containsText" text="男子">
      <formula>NOT(ISERROR(SEARCH("男子",B4)))</formula>
    </cfRule>
  </conditionalFormatting>
  <conditionalFormatting sqref="B5:D24">
    <cfRule type="notContainsBlanks" dxfId="2" priority="5">
      <formula>LEN(TRIM(B5))&gt;0</formula>
    </cfRule>
  </conditionalFormatting>
  <conditionalFormatting sqref="E5:E44">
    <cfRule type="notContainsBlanks" dxfId="1" priority="1">
      <formula>LEN(TRIM(E5))&gt;0</formula>
    </cfRule>
  </conditionalFormatting>
  <conditionalFormatting sqref="G5:G18 F5:F24 G20:G22 G24">
    <cfRule type="notContainsBlanks" dxfId="0" priority="6">
      <formula>LEN(TRIM(F5))&gt;0</formula>
    </cfRule>
  </conditionalFormatting>
  <dataValidations count="1">
    <dataValidation type="list" allowBlank="1" showInputMessage="1" showErrorMessage="1" sqref="B5:B24" xr:uid="{22D24084-6F2E-4239-9102-5C8E1ED1F7F9}">
      <formula1>$I$10:$I$11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/>
  <cols>
    <col min="1" max="1" width="4.265625" style="1" customWidth="1"/>
    <col min="2" max="2" width="9" style="1" bestFit="1" customWidth="1"/>
    <col min="3" max="3" width="13.265625" customWidth="1"/>
    <col min="4" max="5" width="15.59765625" customWidth="1"/>
    <col min="6" max="6" width="15.59765625" style="2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3" customFormat="1" ht="19.5" customHeight="1" thickBot="1">
      <c r="A1" s="87" t="s">
        <v>0</v>
      </c>
      <c r="B1" s="87"/>
      <c r="C1" s="87"/>
      <c r="D1" s="87" t="str">
        <f>団体名等入力!A3</f>
        <v>第45回　湿原の風オープン選手権／
第14回　ＰＭシニアオープン</v>
      </c>
      <c r="E1" s="87"/>
      <c r="F1" s="87"/>
    </row>
    <row r="2" spans="1:10" ht="19.5" customHeight="1" thickBot="1">
      <c r="A2" s="88" t="s">
        <v>2</v>
      </c>
      <c r="B2" s="89"/>
      <c r="C2" s="90"/>
      <c r="D2" s="90" t="str">
        <f>IF(団体名等入力!C3="","",団体名等入力!C3)</f>
        <v/>
      </c>
      <c r="E2" s="90"/>
      <c r="F2" s="91"/>
    </row>
    <row r="3" spans="1:10" ht="19.5" customHeight="1">
      <c r="A3" s="2"/>
      <c r="B3" s="2"/>
      <c r="C3" s="2"/>
      <c r="D3" s="1"/>
      <c r="E3" s="1"/>
    </row>
    <row r="4" spans="1:10" s="2" customFormat="1" ht="19.5" customHeight="1">
      <c r="A4" s="14"/>
      <c r="B4" s="14" t="s">
        <v>21</v>
      </c>
      <c r="C4" s="14" t="s">
        <v>11</v>
      </c>
      <c r="D4" s="14" t="s">
        <v>9</v>
      </c>
      <c r="E4" s="14" t="s">
        <v>10</v>
      </c>
      <c r="F4" s="14" t="s">
        <v>12</v>
      </c>
      <c r="G4" s="14" t="s">
        <v>13</v>
      </c>
      <c r="H4" s="14" t="s">
        <v>15</v>
      </c>
    </row>
    <row r="5" spans="1:10" ht="19.5" customHeight="1">
      <c r="A5" s="16">
        <v>1</v>
      </c>
      <c r="B5" s="17" t="s">
        <v>17</v>
      </c>
      <c r="C5" s="17" t="s">
        <v>40</v>
      </c>
      <c r="D5" s="18" t="s" ph="1">
        <v>26</v>
      </c>
      <c r="E5" s="19" t="s" ph="1">
        <v>27</v>
      </c>
      <c r="F5" s="18" t="s" ph="1">
        <v>31</v>
      </c>
      <c r="G5" s="18" t="s" ph="1">
        <v>32</v>
      </c>
      <c r="H5" s="17" t="s">
        <v>16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>
      <c r="A6" s="16">
        <v>2</v>
      </c>
      <c r="B6" s="17" t="s">
        <v>17</v>
      </c>
      <c r="C6" s="17" t="s">
        <v>41</v>
      </c>
      <c r="D6" s="19" t="s" ph="1">
        <v>33</v>
      </c>
      <c r="E6" s="19" t="s" ph="1">
        <v>34</v>
      </c>
      <c r="F6" s="19" t="s" ph="1">
        <v>35</v>
      </c>
      <c r="G6" s="19" t="s" ph="1">
        <v>24</v>
      </c>
      <c r="H6" s="17" t="s">
        <v>16</v>
      </c>
      <c r="I6">
        <f t="shared" si="0"/>
        <v>1500</v>
      </c>
      <c r="J6">
        <f t="shared" ref="J6:J24" si="1">IF(H6="登録",I6,I6*1)</f>
        <v>1500</v>
      </c>
    </row>
    <row r="7" spans="1:10" ht="19.5" customHeight="1">
      <c r="A7" s="16">
        <v>3</v>
      </c>
      <c r="B7" s="17" t="s">
        <v>17</v>
      </c>
      <c r="C7" s="17" t="s">
        <v>42</v>
      </c>
      <c r="D7" s="19" t="s" ph="1">
        <v>22</v>
      </c>
      <c r="E7" s="19" t="s" ph="1">
        <v>23</v>
      </c>
      <c r="F7" s="19" t="s" ph="1">
        <v>24</v>
      </c>
      <c r="G7" s="19" ph="1"/>
      <c r="H7" s="17" t="s">
        <v>16</v>
      </c>
      <c r="I7">
        <f t="shared" si="0"/>
        <v>1500</v>
      </c>
      <c r="J7">
        <f t="shared" si="1"/>
        <v>1500</v>
      </c>
    </row>
    <row r="8" spans="1:10" ht="19.5" customHeight="1">
      <c r="A8" s="16">
        <v>4</v>
      </c>
      <c r="B8" s="17"/>
      <c r="C8" s="17"/>
      <c r="D8" s="19" ph="1"/>
      <c r="E8" s="19" ph="1"/>
      <c r="F8" s="19" ph="1"/>
      <c r="G8" s="19" ph="1"/>
      <c r="H8" s="17" t="s">
        <v>16</v>
      </c>
      <c r="I8">
        <f t="shared" si="0"/>
        <v>0</v>
      </c>
      <c r="J8">
        <f t="shared" si="1"/>
        <v>0</v>
      </c>
    </row>
    <row r="9" spans="1:10" ht="19.5" customHeight="1">
      <c r="A9" s="16">
        <v>5</v>
      </c>
      <c r="B9" s="17"/>
      <c r="C9" s="17"/>
      <c r="D9" s="19" ph="1"/>
      <c r="E9" s="17"/>
      <c r="F9" s="17"/>
      <c r="G9" s="20"/>
      <c r="H9" s="17" t="s">
        <v>16</v>
      </c>
      <c r="I9">
        <f t="shared" si="0"/>
        <v>0</v>
      </c>
      <c r="J9">
        <f t="shared" si="1"/>
        <v>0</v>
      </c>
    </row>
    <row r="10" spans="1:10" ht="19.5" customHeight="1">
      <c r="A10" s="16">
        <v>6</v>
      </c>
      <c r="B10" s="17"/>
      <c r="C10" s="17"/>
      <c r="D10" s="20" ph="1"/>
      <c r="E10" s="21"/>
      <c r="F10" s="17"/>
      <c r="G10" s="20"/>
      <c r="H10" s="17"/>
      <c r="I10">
        <f t="shared" si="0"/>
        <v>0</v>
      </c>
      <c r="J10">
        <f t="shared" si="1"/>
        <v>0</v>
      </c>
    </row>
    <row r="11" spans="1:10" ht="19.5" customHeight="1">
      <c r="A11" s="16">
        <v>7</v>
      </c>
      <c r="B11" s="17"/>
      <c r="C11" s="17"/>
      <c r="D11" s="20" ph="1"/>
      <c r="E11" s="21"/>
      <c r="F11" s="17"/>
      <c r="G11" s="20"/>
      <c r="H11" s="17"/>
      <c r="I11">
        <f t="shared" si="0"/>
        <v>0</v>
      </c>
      <c r="J11">
        <f t="shared" si="1"/>
        <v>0</v>
      </c>
    </row>
    <row r="12" spans="1:10" ht="19.5" customHeight="1">
      <c r="A12" s="16">
        <v>8</v>
      </c>
      <c r="B12" s="17"/>
      <c r="C12" s="17"/>
      <c r="D12" s="20" ph="1"/>
      <c r="E12" s="21"/>
      <c r="F12" s="17"/>
      <c r="G12" s="20"/>
      <c r="H12" s="17"/>
      <c r="I12">
        <f t="shared" si="0"/>
        <v>0</v>
      </c>
      <c r="J12">
        <f t="shared" si="1"/>
        <v>0</v>
      </c>
    </row>
    <row r="13" spans="1:10" ht="19.5" customHeight="1">
      <c r="A13" s="16">
        <v>9</v>
      </c>
      <c r="B13" s="17"/>
      <c r="C13" s="17"/>
      <c r="D13" s="20" ph="1"/>
      <c r="E13" s="21"/>
      <c r="F13" s="17"/>
      <c r="G13" s="20"/>
      <c r="H13" s="17"/>
      <c r="I13">
        <f t="shared" si="0"/>
        <v>0</v>
      </c>
      <c r="J13">
        <f t="shared" si="1"/>
        <v>0</v>
      </c>
    </row>
    <row r="14" spans="1:10" ht="19.5" customHeight="1">
      <c r="A14" s="16">
        <v>10</v>
      </c>
      <c r="B14" s="17"/>
      <c r="C14" s="17"/>
      <c r="D14" s="20" ph="1"/>
      <c r="E14" s="21"/>
      <c r="F14" s="17"/>
      <c r="G14" s="20"/>
      <c r="H14" s="17"/>
      <c r="I14">
        <f t="shared" si="0"/>
        <v>0</v>
      </c>
      <c r="J14">
        <f t="shared" si="1"/>
        <v>0</v>
      </c>
    </row>
    <row r="15" spans="1:10" ht="19.5" hidden="1" customHeight="1">
      <c r="A15" s="16">
        <v>11</v>
      </c>
      <c r="B15" s="17"/>
      <c r="C15" s="17"/>
      <c r="D15" s="20" ph="1"/>
      <c r="E15" s="21"/>
      <c r="F15" s="17"/>
      <c r="G15" s="20"/>
      <c r="H15" s="17"/>
      <c r="I15">
        <f t="shared" si="0"/>
        <v>0</v>
      </c>
      <c r="J15">
        <f t="shared" si="1"/>
        <v>0</v>
      </c>
    </row>
    <row r="16" spans="1:10" ht="19.5" hidden="1" customHeight="1">
      <c r="A16" s="16">
        <v>12</v>
      </c>
      <c r="B16" s="17"/>
      <c r="C16" s="17"/>
      <c r="D16" s="20" ph="1"/>
      <c r="E16" s="21"/>
      <c r="F16" s="17"/>
      <c r="G16" s="20"/>
      <c r="H16" s="17"/>
      <c r="I16">
        <f t="shared" si="0"/>
        <v>0</v>
      </c>
      <c r="J16">
        <f t="shared" si="1"/>
        <v>0</v>
      </c>
    </row>
    <row r="17" spans="1:10" ht="19.5" hidden="1" customHeight="1">
      <c r="A17" s="16">
        <v>13</v>
      </c>
      <c r="B17" s="17"/>
      <c r="C17" s="17"/>
      <c r="D17" s="20" ph="1"/>
      <c r="E17" s="21"/>
      <c r="F17" s="17"/>
      <c r="G17" s="20"/>
      <c r="H17" s="17"/>
      <c r="I17">
        <f t="shared" si="0"/>
        <v>0</v>
      </c>
      <c r="J17">
        <f t="shared" si="1"/>
        <v>0</v>
      </c>
    </row>
    <row r="18" spans="1:10" ht="19.5" hidden="1" customHeight="1">
      <c r="A18" s="16">
        <v>14</v>
      </c>
      <c r="B18" s="17"/>
      <c r="C18" s="17"/>
      <c r="D18" s="20"/>
      <c r="E18" s="21"/>
      <c r="F18" s="17"/>
      <c r="G18" s="20"/>
      <c r="H18" s="17"/>
      <c r="I18">
        <f t="shared" si="0"/>
        <v>0</v>
      </c>
      <c r="J18">
        <f t="shared" si="1"/>
        <v>0</v>
      </c>
    </row>
    <row r="19" spans="1:10" ht="19.5" hidden="1" customHeight="1">
      <c r="A19" s="16">
        <v>15</v>
      </c>
      <c r="B19" s="17"/>
      <c r="C19" s="17"/>
      <c r="D19" s="20"/>
      <c r="E19" s="21"/>
      <c r="F19" s="17"/>
      <c r="G19" s="20"/>
      <c r="H19" s="17"/>
      <c r="I19">
        <f t="shared" si="0"/>
        <v>0</v>
      </c>
      <c r="J19">
        <f t="shared" si="1"/>
        <v>0</v>
      </c>
    </row>
    <row r="20" spans="1:10" ht="19.5" hidden="1" customHeight="1">
      <c r="A20" s="16">
        <v>16</v>
      </c>
      <c r="B20" s="17"/>
      <c r="C20" s="17"/>
      <c r="D20" s="20"/>
      <c r="E20" s="21"/>
      <c r="F20" s="17"/>
      <c r="G20" s="20"/>
      <c r="H20" s="17"/>
      <c r="I20">
        <f t="shared" si="0"/>
        <v>0</v>
      </c>
      <c r="J20">
        <f t="shared" si="1"/>
        <v>0</v>
      </c>
    </row>
    <row r="21" spans="1:10" ht="19.5" hidden="1" customHeight="1">
      <c r="A21" s="16">
        <v>17</v>
      </c>
      <c r="B21" s="17"/>
      <c r="C21" s="17"/>
      <c r="D21" s="20"/>
      <c r="E21" s="21"/>
      <c r="F21" s="17"/>
      <c r="G21" s="20"/>
      <c r="H21" s="17"/>
      <c r="I21">
        <f t="shared" si="0"/>
        <v>0</v>
      </c>
      <c r="J21">
        <f t="shared" si="1"/>
        <v>0</v>
      </c>
    </row>
    <row r="22" spans="1:10" ht="19.5" hidden="1" customHeight="1">
      <c r="A22" s="16">
        <v>18</v>
      </c>
      <c r="B22" s="17"/>
      <c r="C22" s="17"/>
      <c r="D22" s="20"/>
      <c r="E22" s="21"/>
      <c r="F22" s="17"/>
      <c r="G22" s="20"/>
      <c r="H22" s="17"/>
      <c r="I22">
        <f t="shared" si="0"/>
        <v>0</v>
      </c>
      <c r="J22">
        <f t="shared" si="1"/>
        <v>0</v>
      </c>
    </row>
    <row r="23" spans="1:10" ht="19.5" hidden="1" customHeight="1">
      <c r="A23" s="16">
        <v>19</v>
      </c>
      <c r="B23" s="17"/>
      <c r="C23" s="17"/>
      <c r="D23" s="20"/>
      <c r="E23" s="21"/>
      <c r="F23" s="17"/>
      <c r="G23" s="20"/>
      <c r="H23" s="17"/>
      <c r="I23">
        <f t="shared" si="0"/>
        <v>0</v>
      </c>
      <c r="J23">
        <f t="shared" si="1"/>
        <v>0</v>
      </c>
    </row>
    <row r="24" spans="1:10" ht="19.5" hidden="1" customHeight="1">
      <c r="A24" s="16">
        <v>20</v>
      </c>
      <c r="B24" s="17"/>
      <c r="C24" s="17"/>
      <c r="D24" s="20"/>
      <c r="E24" s="21"/>
      <c r="F24" s="17"/>
      <c r="G24" s="20"/>
      <c r="H24" s="17"/>
      <c r="I24">
        <f t="shared" si="0"/>
        <v>0</v>
      </c>
      <c r="J24">
        <f t="shared" si="1"/>
        <v>0</v>
      </c>
    </row>
    <row r="26" spans="1:10" ht="19.5" customHeight="1" thickBot="1">
      <c r="F26" s="4" t="s">
        <v>14</v>
      </c>
      <c r="G26" s="23">
        <f>COUNTA(C5:C24)</f>
        <v>3</v>
      </c>
    </row>
    <row r="27" spans="1:10" ht="19.5" customHeight="1" thickBot="1">
      <c r="F27" s="5" t="s">
        <v>4</v>
      </c>
      <c r="G27" s="6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700-000000000000}">
      <formula1>"一般,大学,高校,中学,小学,　,"</formula1>
    </dataValidation>
    <dataValidation type="list" allowBlank="1" showInputMessage="1" showErrorMessage="1" sqref="H5:H24" xr:uid="{00000000-0002-0000-0700-000001000000}">
      <formula1>"登録,未登録,　,"</formula1>
    </dataValidation>
  </dataValidations>
  <pageMargins left="0.7" right="0.7" top="0.75" bottom="0.75" header="0.3" footer="0.3"/>
  <pageSetup paperSize="9" orientation="landscape" horizontalDpi="4294967293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/>
  <cols>
    <col min="1" max="1" width="4.265625" style="1" customWidth="1"/>
    <col min="2" max="2" width="13.265625" customWidth="1"/>
    <col min="3" max="4" width="23.59765625" customWidth="1"/>
    <col min="5" max="5" width="13.59765625" style="2" customWidth="1"/>
    <col min="6" max="8" width="11.46484375" hidden="1" customWidth="1"/>
  </cols>
  <sheetData>
    <row r="1" spans="1:8" s="3" customFormat="1" ht="19.5" customHeight="1">
      <c r="A1" s="85" t="s">
        <v>0</v>
      </c>
      <c r="B1" s="85"/>
      <c r="C1" s="85" t="str">
        <f>団体名等入力!A3</f>
        <v>第45回　湿原の風オープン選手権／
第14回　ＰＭシニアオープン</v>
      </c>
      <c r="D1" s="85"/>
      <c r="E1" s="85"/>
      <c r="F1" s="27"/>
    </row>
    <row r="2" spans="1:8" ht="19.5" customHeight="1">
      <c r="A2" s="85" t="s">
        <v>2</v>
      </c>
      <c r="B2" s="85"/>
      <c r="C2" s="85" t="str">
        <f>IF(団体名等入力!B3="","",団体名等入力!B3)</f>
        <v/>
      </c>
      <c r="D2" s="85"/>
      <c r="E2" s="85"/>
      <c r="F2" s="27"/>
    </row>
    <row r="3" spans="1:8" ht="19.5" customHeight="1">
      <c r="A3" s="2"/>
      <c r="B3" s="2"/>
      <c r="C3" s="1"/>
      <c r="D3" s="1"/>
    </row>
    <row r="4" spans="1:8" s="2" customFormat="1" ht="33.75" customHeight="1">
      <c r="A4" s="14"/>
      <c r="B4" s="14" t="s">
        <v>19</v>
      </c>
      <c r="C4" s="14" t="s">
        <v>1</v>
      </c>
      <c r="D4" s="14" t="s">
        <v>2</v>
      </c>
      <c r="E4" s="15" t="s">
        <v>20</v>
      </c>
      <c r="F4" s="14" t="s">
        <v>15</v>
      </c>
    </row>
    <row r="5" spans="1:8" ht="19.5" customHeight="1">
      <c r="A5" s="16">
        <v>1</v>
      </c>
      <c r="B5" s="17" t="s">
        <v>6</v>
      </c>
      <c r="C5" s="18" t="s" ph="1">
        <v>26</v>
      </c>
      <c r="D5" s="17" t="s">
        <v>5</v>
      </c>
      <c r="E5" s="26" t="s">
        <v>36</v>
      </c>
      <c r="F5" s="17" t="s">
        <v>16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>
      <c r="A6" s="16">
        <v>2</v>
      </c>
      <c r="B6" s="17" t="s">
        <v>6</v>
      </c>
      <c r="C6" s="19" t="s" ph="1">
        <v>27</v>
      </c>
      <c r="D6" s="17" t="s">
        <v>5</v>
      </c>
      <c r="E6" s="26" t="s">
        <v>37</v>
      </c>
      <c r="F6" s="17" t="s">
        <v>16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>
      <c r="A7" s="16">
        <v>3</v>
      </c>
      <c r="B7" s="17" t="s">
        <v>6</v>
      </c>
      <c r="C7" s="19" t="s" ph="1">
        <v>28</v>
      </c>
      <c r="D7" s="17" t="s">
        <v>5</v>
      </c>
      <c r="E7" s="26" t="s">
        <v>39</v>
      </c>
      <c r="F7" s="17" t="s">
        <v>16</v>
      </c>
      <c r="G7">
        <f t="shared" si="0"/>
        <v>700</v>
      </c>
      <c r="H7">
        <f t="shared" si="1"/>
        <v>700</v>
      </c>
    </row>
    <row r="8" spans="1:8" ht="19.5" customHeight="1">
      <c r="A8" s="16">
        <v>4</v>
      </c>
      <c r="B8" s="17" t="s">
        <v>7</v>
      </c>
      <c r="C8" s="19" t="s" ph="1">
        <v>29</v>
      </c>
      <c r="D8" s="17" t="s">
        <v>5</v>
      </c>
      <c r="E8" s="26" t="s">
        <v>38</v>
      </c>
      <c r="F8" s="17" t="s">
        <v>16</v>
      </c>
      <c r="G8">
        <f t="shared" si="0"/>
        <v>500</v>
      </c>
      <c r="H8">
        <f t="shared" si="1"/>
        <v>500</v>
      </c>
    </row>
    <row r="9" spans="1:8" ht="19.5" customHeight="1">
      <c r="A9" s="16">
        <v>5</v>
      </c>
      <c r="B9" s="17" t="s">
        <v>17</v>
      </c>
      <c r="C9" s="19" t="s" ph="1">
        <v>30</v>
      </c>
      <c r="D9" s="17" t="s">
        <v>18</v>
      </c>
      <c r="E9" s="26" t="s">
        <v>17</v>
      </c>
      <c r="F9" s="17" t="s">
        <v>16</v>
      </c>
      <c r="G9">
        <f t="shared" si="0"/>
        <v>500</v>
      </c>
      <c r="H9">
        <f t="shared" si="1"/>
        <v>500</v>
      </c>
    </row>
    <row r="10" spans="1:8" ht="19.5" customHeight="1">
      <c r="A10" s="16">
        <v>6</v>
      </c>
      <c r="B10" s="17"/>
      <c r="C10" s="19" ph="1"/>
      <c r="D10" s="17"/>
      <c r="E10" s="26" t="s">
        <v>16</v>
      </c>
      <c r="F10" s="17"/>
      <c r="G10">
        <f t="shared" si="0"/>
        <v>0</v>
      </c>
      <c r="H10">
        <f t="shared" si="1"/>
        <v>0</v>
      </c>
    </row>
    <row r="11" spans="1:8" ht="19.5" customHeight="1">
      <c r="A11" s="16">
        <v>7</v>
      </c>
      <c r="B11" s="17"/>
      <c r="C11" s="19" ph="1"/>
      <c r="D11" s="17"/>
      <c r="E11" s="26" t="s">
        <v>16</v>
      </c>
      <c r="F11" s="17"/>
      <c r="G11">
        <f t="shared" si="0"/>
        <v>0</v>
      </c>
      <c r="H11">
        <f t="shared" si="1"/>
        <v>0</v>
      </c>
    </row>
    <row r="12" spans="1:8" ht="19.5" customHeight="1">
      <c r="A12" s="16">
        <v>8</v>
      </c>
      <c r="B12" s="17"/>
      <c r="C12" s="19" ph="1"/>
      <c r="D12" s="17"/>
      <c r="E12" s="26" t="s">
        <v>16</v>
      </c>
      <c r="F12" s="17"/>
      <c r="G12">
        <f t="shared" si="0"/>
        <v>0</v>
      </c>
      <c r="H12">
        <f t="shared" si="1"/>
        <v>0</v>
      </c>
    </row>
    <row r="13" spans="1:8" ht="19.5" customHeight="1">
      <c r="A13" s="16">
        <v>9</v>
      </c>
      <c r="B13" s="17"/>
      <c r="C13" s="19" ph="1"/>
      <c r="D13" s="17"/>
      <c r="E13" s="26" t="s">
        <v>16</v>
      </c>
      <c r="F13" s="17"/>
      <c r="G13">
        <f t="shared" si="0"/>
        <v>0</v>
      </c>
      <c r="H13">
        <f t="shared" si="1"/>
        <v>0</v>
      </c>
    </row>
    <row r="14" spans="1:8" ht="19.5" customHeight="1">
      <c r="A14" s="16">
        <v>10</v>
      </c>
      <c r="B14" s="17"/>
      <c r="C14" s="19" ph="1"/>
      <c r="D14" s="17"/>
      <c r="E14" s="26" t="s">
        <v>16</v>
      </c>
      <c r="F14" s="17"/>
      <c r="G14">
        <f t="shared" si="0"/>
        <v>0</v>
      </c>
      <c r="H14">
        <f t="shared" si="1"/>
        <v>0</v>
      </c>
    </row>
    <row r="15" spans="1:8" ht="19.5" hidden="1" customHeight="1">
      <c r="A15" s="16">
        <v>11</v>
      </c>
      <c r="B15" s="17"/>
      <c r="C15" s="19" ph="1"/>
      <c r="D15" s="17"/>
      <c r="E15" s="26" t="s">
        <v>16</v>
      </c>
      <c r="F15" s="17"/>
      <c r="G15">
        <f t="shared" si="0"/>
        <v>0</v>
      </c>
      <c r="H15">
        <f t="shared" si="1"/>
        <v>0</v>
      </c>
    </row>
    <row r="16" spans="1:8" ht="19.5" hidden="1" customHeight="1">
      <c r="A16" s="16">
        <v>12</v>
      </c>
      <c r="B16" s="17"/>
      <c r="C16" s="19" ph="1"/>
      <c r="D16" s="17"/>
      <c r="E16" s="26" t="s">
        <v>16</v>
      </c>
      <c r="F16" s="17"/>
      <c r="G16">
        <f t="shared" si="0"/>
        <v>0</v>
      </c>
      <c r="H16">
        <f t="shared" si="1"/>
        <v>0</v>
      </c>
    </row>
    <row r="17" spans="1:8" ht="19.5" hidden="1" customHeight="1">
      <c r="A17" s="16">
        <v>13</v>
      </c>
      <c r="B17" s="17"/>
      <c r="C17" s="19" ph="1"/>
      <c r="D17" s="17"/>
      <c r="E17" s="26" t="s">
        <v>16</v>
      </c>
      <c r="F17" s="17"/>
      <c r="G17">
        <f t="shared" si="0"/>
        <v>0</v>
      </c>
      <c r="H17">
        <f t="shared" si="1"/>
        <v>0</v>
      </c>
    </row>
    <row r="18" spans="1:8" ht="19.5" hidden="1" customHeight="1">
      <c r="A18" s="16">
        <v>14</v>
      </c>
      <c r="B18" s="17"/>
      <c r="C18" s="19" ph="1"/>
      <c r="D18" s="17"/>
      <c r="E18" s="26" t="s">
        <v>16</v>
      </c>
      <c r="F18" s="17"/>
      <c r="G18">
        <f t="shared" si="0"/>
        <v>0</v>
      </c>
      <c r="H18">
        <f t="shared" si="1"/>
        <v>0</v>
      </c>
    </row>
    <row r="19" spans="1:8" ht="19.5" hidden="1" customHeight="1">
      <c r="A19" s="16">
        <v>15</v>
      </c>
      <c r="B19" s="17"/>
      <c r="C19" s="19" ph="1"/>
      <c r="D19" s="17"/>
      <c r="E19" s="26" t="s">
        <v>16</v>
      </c>
      <c r="F19" s="17"/>
      <c r="G19">
        <f t="shared" si="0"/>
        <v>0</v>
      </c>
      <c r="H19">
        <f t="shared" si="1"/>
        <v>0</v>
      </c>
    </row>
    <row r="20" spans="1:8" ht="19.5" hidden="1" customHeight="1">
      <c r="A20" s="16">
        <v>16</v>
      </c>
      <c r="B20" s="17"/>
      <c r="C20" s="20"/>
      <c r="D20" s="21"/>
      <c r="E20" s="26" t="s">
        <v>16</v>
      </c>
      <c r="F20" s="17"/>
      <c r="G20">
        <f t="shared" si="0"/>
        <v>0</v>
      </c>
      <c r="H20">
        <f t="shared" si="1"/>
        <v>0</v>
      </c>
    </row>
    <row r="21" spans="1:8" ht="19.5" hidden="1" customHeight="1">
      <c r="A21" s="16">
        <v>17</v>
      </c>
      <c r="B21" s="17" t="s">
        <v>16</v>
      </c>
      <c r="C21" s="20"/>
      <c r="D21" s="21"/>
      <c r="E21" s="26" t="s">
        <v>16</v>
      </c>
      <c r="F21" s="17"/>
      <c r="G21">
        <f t="shared" si="0"/>
        <v>0</v>
      </c>
      <c r="H21">
        <f t="shared" si="1"/>
        <v>0</v>
      </c>
    </row>
    <row r="22" spans="1:8" ht="19.5" hidden="1" customHeight="1">
      <c r="A22" s="16">
        <v>18</v>
      </c>
      <c r="B22" s="17" t="s">
        <v>16</v>
      </c>
      <c r="C22" s="20"/>
      <c r="D22" s="21"/>
      <c r="E22" s="26" t="s">
        <v>16</v>
      </c>
      <c r="F22" s="17"/>
      <c r="G22">
        <f t="shared" si="0"/>
        <v>0</v>
      </c>
      <c r="H22">
        <f t="shared" si="1"/>
        <v>0</v>
      </c>
    </row>
    <row r="23" spans="1:8" ht="19.5" hidden="1" customHeight="1">
      <c r="A23" s="16">
        <v>19</v>
      </c>
      <c r="B23" s="17" t="s">
        <v>16</v>
      </c>
      <c r="C23" s="20"/>
      <c r="D23" s="21"/>
      <c r="E23" s="26" t="s">
        <v>16</v>
      </c>
      <c r="F23" s="17"/>
      <c r="G23">
        <f t="shared" si="0"/>
        <v>0</v>
      </c>
      <c r="H23">
        <f t="shared" si="1"/>
        <v>0</v>
      </c>
    </row>
    <row r="24" spans="1:8" ht="19.5" hidden="1" customHeight="1">
      <c r="A24" s="16">
        <v>20</v>
      </c>
      <c r="B24" s="17"/>
      <c r="C24" s="19" ph="1"/>
      <c r="D24" s="17"/>
      <c r="E24" s="26" t="s">
        <v>16</v>
      </c>
      <c r="F24" s="17"/>
      <c r="G24">
        <f t="shared" si="0"/>
        <v>0</v>
      </c>
      <c r="H24">
        <f t="shared" si="1"/>
        <v>0</v>
      </c>
    </row>
    <row r="25" spans="1:8" ht="19.5" hidden="1" customHeight="1">
      <c r="A25" s="16">
        <v>21</v>
      </c>
      <c r="B25" s="17"/>
      <c r="C25" s="19" ph="1"/>
      <c r="D25" s="17"/>
      <c r="E25" s="26" t="s">
        <v>16</v>
      </c>
      <c r="F25" s="17"/>
      <c r="G25">
        <f t="shared" si="0"/>
        <v>0</v>
      </c>
      <c r="H25">
        <f t="shared" si="1"/>
        <v>0</v>
      </c>
    </row>
    <row r="26" spans="1:8" ht="19.5" hidden="1" customHeight="1">
      <c r="A26" s="16">
        <v>22</v>
      </c>
      <c r="B26" s="17"/>
      <c r="C26" s="19" ph="1"/>
      <c r="D26" s="17"/>
      <c r="E26" s="26" t="s">
        <v>16</v>
      </c>
      <c r="F26" s="17"/>
      <c r="G26">
        <f t="shared" si="0"/>
        <v>0</v>
      </c>
      <c r="H26">
        <f t="shared" si="1"/>
        <v>0</v>
      </c>
    </row>
    <row r="27" spans="1:8" ht="19.5" hidden="1" customHeight="1">
      <c r="A27" s="16">
        <v>23</v>
      </c>
      <c r="B27" s="17"/>
      <c r="C27" s="19" ph="1"/>
      <c r="D27" s="17"/>
      <c r="E27" s="26" t="s">
        <v>16</v>
      </c>
      <c r="F27" s="17"/>
      <c r="G27">
        <f t="shared" si="0"/>
        <v>0</v>
      </c>
      <c r="H27">
        <f t="shared" si="1"/>
        <v>0</v>
      </c>
    </row>
    <row r="28" spans="1:8" ht="19.5" hidden="1" customHeight="1">
      <c r="A28" s="16">
        <v>24</v>
      </c>
      <c r="B28" s="17"/>
      <c r="C28" s="19" ph="1"/>
      <c r="D28" s="17"/>
      <c r="E28" s="26" t="s">
        <v>16</v>
      </c>
      <c r="F28" s="17"/>
      <c r="G28">
        <f t="shared" si="0"/>
        <v>0</v>
      </c>
      <c r="H28">
        <f t="shared" si="1"/>
        <v>0</v>
      </c>
    </row>
    <row r="29" spans="1:8" ht="19.5" hidden="1" customHeight="1">
      <c r="A29" s="16">
        <v>25</v>
      </c>
      <c r="B29" s="17"/>
      <c r="C29" s="19" ph="1"/>
      <c r="D29" s="17"/>
      <c r="E29" s="26" t="s">
        <v>16</v>
      </c>
      <c r="F29" s="17"/>
      <c r="G29">
        <f t="shared" si="0"/>
        <v>0</v>
      </c>
      <c r="H29">
        <f t="shared" si="1"/>
        <v>0</v>
      </c>
    </row>
    <row r="30" spans="1:8" ht="19.5" hidden="1" customHeight="1">
      <c r="A30" s="16">
        <v>26</v>
      </c>
      <c r="B30" s="17"/>
      <c r="C30" s="19" ph="1"/>
      <c r="D30" s="17"/>
      <c r="E30" s="26" t="s">
        <v>16</v>
      </c>
      <c r="F30" s="17"/>
      <c r="G30">
        <f t="shared" si="0"/>
        <v>0</v>
      </c>
      <c r="H30">
        <f t="shared" si="1"/>
        <v>0</v>
      </c>
    </row>
    <row r="31" spans="1:8" ht="19.5" hidden="1" customHeight="1">
      <c r="A31" s="16">
        <v>27</v>
      </c>
      <c r="B31" s="17"/>
      <c r="C31" s="19" ph="1"/>
      <c r="D31" s="17"/>
      <c r="E31" s="26" t="s">
        <v>16</v>
      </c>
      <c r="F31" s="17"/>
      <c r="G31">
        <f t="shared" si="0"/>
        <v>0</v>
      </c>
      <c r="H31">
        <f t="shared" si="1"/>
        <v>0</v>
      </c>
    </row>
    <row r="32" spans="1:8" ht="19.5" hidden="1" customHeight="1">
      <c r="A32" s="16">
        <v>28</v>
      </c>
      <c r="B32" s="17"/>
      <c r="C32" s="19" ph="1"/>
      <c r="D32" s="17"/>
      <c r="E32" s="26" t="s">
        <v>16</v>
      </c>
      <c r="F32" s="17"/>
      <c r="G32">
        <f t="shared" si="0"/>
        <v>0</v>
      </c>
      <c r="H32">
        <f t="shared" si="1"/>
        <v>0</v>
      </c>
    </row>
    <row r="33" spans="1:8" ht="19.5" hidden="1" customHeight="1">
      <c r="A33" s="16">
        <v>29</v>
      </c>
      <c r="B33" s="17"/>
      <c r="C33" s="19" ph="1"/>
      <c r="D33" s="17"/>
      <c r="E33" s="26" t="s">
        <v>16</v>
      </c>
      <c r="F33" s="17"/>
      <c r="G33">
        <f t="shared" si="0"/>
        <v>0</v>
      </c>
      <c r="H33">
        <f t="shared" si="1"/>
        <v>0</v>
      </c>
    </row>
    <row r="34" spans="1:8" ht="19.5" hidden="1" customHeight="1">
      <c r="A34" s="16">
        <v>30</v>
      </c>
      <c r="B34" s="17"/>
      <c r="C34" s="19" ph="1"/>
      <c r="D34" s="17"/>
      <c r="E34" s="26" t="s">
        <v>16</v>
      </c>
      <c r="F34" s="17"/>
      <c r="G34">
        <f t="shared" si="0"/>
        <v>0</v>
      </c>
      <c r="H34">
        <f t="shared" si="1"/>
        <v>0</v>
      </c>
    </row>
    <row r="35" spans="1:8" ht="19.5" hidden="1" customHeight="1">
      <c r="A35" s="16">
        <v>31</v>
      </c>
      <c r="B35" s="17"/>
      <c r="C35" s="19" ph="1"/>
      <c r="D35" s="17"/>
      <c r="E35" s="26" t="s">
        <v>16</v>
      </c>
      <c r="F35" s="17"/>
      <c r="G35">
        <f t="shared" si="0"/>
        <v>0</v>
      </c>
      <c r="H35">
        <f t="shared" si="1"/>
        <v>0</v>
      </c>
    </row>
    <row r="36" spans="1:8" ht="19.5" hidden="1" customHeight="1">
      <c r="A36" s="16">
        <v>32</v>
      </c>
      <c r="B36" s="17"/>
      <c r="C36" s="19" ph="1"/>
      <c r="D36" s="17"/>
      <c r="E36" s="26" t="s">
        <v>16</v>
      </c>
      <c r="F36" s="17"/>
      <c r="G36">
        <f t="shared" si="0"/>
        <v>0</v>
      </c>
      <c r="H36">
        <f t="shared" si="1"/>
        <v>0</v>
      </c>
    </row>
    <row r="37" spans="1:8" ht="19.5" hidden="1" customHeight="1">
      <c r="A37" s="16">
        <v>33</v>
      </c>
      <c r="B37" s="17"/>
      <c r="C37" s="19" ph="1"/>
      <c r="D37" s="17"/>
      <c r="E37" s="26" t="s">
        <v>16</v>
      </c>
      <c r="F37" s="17"/>
      <c r="G37">
        <f t="shared" si="0"/>
        <v>0</v>
      </c>
      <c r="H37">
        <f t="shared" si="1"/>
        <v>0</v>
      </c>
    </row>
    <row r="38" spans="1:8" ht="19.5" hidden="1" customHeight="1">
      <c r="A38" s="16">
        <v>34</v>
      </c>
      <c r="B38" s="17"/>
      <c r="C38" s="19" ph="1"/>
      <c r="D38" s="17"/>
      <c r="E38" s="26" t="s">
        <v>16</v>
      </c>
      <c r="F38" s="17"/>
      <c r="G38">
        <f t="shared" si="0"/>
        <v>0</v>
      </c>
      <c r="H38">
        <f t="shared" si="1"/>
        <v>0</v>
      </c>
    </row>
    <row r="39" spans="1:8" ht="19.5" hidden="1" customHeight="1">
      <c r="A39" s="16">
        <v>35</v>
      </c>
      <c r="B39" s="17"/>
      <c r="C39" s="19" ph="1"/>
      <c r="D39" s="17"/>
      <c r="E39" s="26" t="s">
        <v>16</v>
      </c>
      <c r="F39" s="17"/>
      <c r="G39">
        <f t="shared" si="0"/>
        <v>0</v>
      </c>
      <c r="H39">
        <f t="shared" si="1"/>
        <v>0</v>
      </c>
    </row>
    <row r="40" spans="1:8" ht="19.5" hidden="1" customHeight="1">
      <c r="A40" s="16">
        <v>36</v>
      </c>
      <c r="B40" s="17"/>
      <c r="C40" s="20"/>
      <c r="D40" s="21"/>
      <c r="E40" s="26" t="s">
        <v>16</v>
      </c>
      <c r="F40" s="17"/>
      <c r="G40">
        <f t="shared" si="0"/>
        <v>0</v>
      </c>
      <c r="H40">
        <f t="shared" si="1"/>
        <v>0</v>
      </c>
    </row>
    <row r="41" spans="1:8" ht="19.5" hidden="1" customHeight="1">
      <c r="A41" s="16">
        <v>37</v>
      </c>
      <c r="B41" s="17" t="s">
        <v>16</v>
      </c>
      <c r="C41" s="20"/>
      <c r="D41" s="21"/>
      <c r="E41" s="26" t="s">
        <v>16</v>
      </c>
      <c r="F41" s="17"/>
      <c r="G41">
        <f t="shared" si="0"/>
        <v>0</v>
      </c>
      <c r="H41">
        <f t="shared" si="1"/>
        <v>0</v>
      </c>
    </row>
    <row r="42" spans="1:8" ht="19.5" hidden="1" customHeight="1">
      <c r="A42" s="16">
        <v>38</v>
      </c>
      <c r="B42" s="17" t="s">
        <v>16</v>
      </c>
      <c r="C42" s="20"/>
      <c r="D42" s="21"/>
      <c r="E42" s="26" t="s">
        <v>16</v>
      </c>
      <c r="F42" s="17"/>
      <c r="G42">
        <f t="shared" si="0"/>
        <v>0</v>
      </c>
      <c r="H42">
        <f t="shared" si="1"/>
        <v>0</v>
      </c>
    </row>
    <row r="43" spans="1:8" ht="19.5" hidden="1" customHeight="1">
      <c r="A43" s="16">
        <v>39</v>
      </c>
      <c r="B43" s="17" t="s">
        <v>16</v>
      </c>
      <c r="C43" s="20"/>
      <c r="D43" s="21"/>
      <c r="E43" s="26" t="s">
        <v>16</v>
      </c>
      <c r="F43" s="17"/>
      <c r="G43">
        <f t="shared" si="0"/>
        <v>0</v>
      </c>
      <c r="H43">
        <f t="shared" si="1"/>
        <v>0</v>
      </c>
    </row>
    <row r="44" spans="1:8" ht="19.5" hidden="1" customHeight="1">
      <c r="A44" s="16">
        <v>40</v>
      </c>
      <c r="B44" s="17" t="s">
        <v>16</v>
      </c>
      <c r="C44" s="20"/>
      <c r="D44" s="21"/>
      <c r="E44" s="26" t="s">
        <v>16</v>
      </c>
      <c r="F44" s="17"/>
      <c r="G44">
        <f t="shared" si="0"/>
        <v>0</v>
      </c>
      <c r="H44">
        <f t="shared" si="1"/>
        <v>0</v>
      </c>
    </row>
    <row r="45" spans="1:8" ht="19.5" customHeight="1">
      <c r="G45">
        <f>SUM(G5:G44)</f>
        <v>3100</v>
      </c>
      <c r="H45">
        <f t="shared" si="1"/>
        <v>3100</v>
      </c>
    </row>
    <row r="46" spans="1:8" ht="19.5" customHeight="1" thickBot="1">
      <c r="D46" s="4" t="s">
        <v>8</v>
      </c>
      <c r="E46" s="22">
        <f>COUNTA(C5:C44)</f>
        <v>5</v>
      </c>
    </row>
    <row r="47" spans="1:8" ht="19.5" customHeight="1" thickBot="1">
      <c r="D47" s="5" t="s">
        <v>4</v>
      </c>
      <c r="E47" s="6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800-000000000000}">
      <formula1>"登録,未登録,　,"</formula1>
    </dataValidation>
    <dataValidation type="list" allowBlank="1" showInputMessage="1" showErrorMessage="1" sqref="B5:B44" xr:uid="{00000000-0002-0000-0800-000001000000}">
      <formula1>"一般,大学,高校,中学,小学,　,"</formula1>
    </dataValidation>
    <dataValidation type="list" allowBlank="1" showInputMessage="1" showErrorMessage="1" sqref="E5:E44" xr:uid="{00000000-0002-0000-08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A59C-6729-41D5-B9F3-3CAE69400DAC}">
  <sheetPr>
    <tabColor theme="1"/>
  </sheetPr>
  <dimension ref="A1:F9"/>
  <sheetViews>
    <sheetView view="pageBreakPreview" zoomScale="115" zoomScaleNormal="100" zoomScaleSheetLayoutView="115" workbookViewId="0">
      <selection activeCell="D6" sqref="D6"/>
    </sheetView>
  </sheetViews>
  <sheetFormatPr defaultRowHeight="40.5" customHeight="1"/>
  <cols>
    <col min="1" max="1" width="20.73046875" customWidth="1"/>
    <col min="2" max="2" width="9.86328125" customWidth="1"/>
    <col min="3" max="3" width="3.86328125" bestFit="1" customWidth="1"/>
    <col min="4" max="4" width="39.1328125" bestFit="1" customWidth="1"/>
    <col min="5" max="5" width="3.86328125" bestFit="1" customWidth="1"/>
    <col min="6" max="6" width="10.265625" customWidth="1"/>
  </cols>
  <sheetData>
    <row r="1" spans="1:6" ht="40.5" customHeight="1">
      <c r="A1" s="93" t="s">
        <v>74</v>
      </c>
      <c r="B1" s="93"/>
      <c r="C1" s="93"/>
      <c r="D1" s="93"/>
      <c r="E1" s="93"/>
      <c r="F1" s="93"/>
    </row>
    <row r="2" spans="1:6" ht="40.5" customHeight="1">
      <c r="A2" s="93"/>
      <c r="B2" s="93"/>
      <c r="C2" s="93"/>
      <c r="D2" s="93"/>
      <c r="E2" s="93"/>
      <c r="F2" s="93"/>
    </row>
    <row r="4" spans="1:6" ht="40.5" customHeight="1">
      <c r="A4" s="97" t="str">
        <f>IF(団体名等入力!B3="","",団体名等入力!B3)</f>
        <v/>
      </c>
      <c r="B4" s="97"/>
      <c r="C4" s="97"/>
    </row>
    <row r="5" spans="1:6" ht="14.25" customHeight="1">
      <c r="A5" s="11"/>
      <c r="B5" s="11"/>
      <c r="C5" s="11"/>
      <c r="D5" s="12"/>
      <c r="E5" s="12"/>
      <c r="F5" s="9"/>
    </row>
    <row r="6" spans="1:6" ht="40.5" customHeight="1">
      <c r="A6" s="94" t="s">
        <v>75</v>
      </c>
      <c r="B6" s="94"/>
      <c r="C6" s="94"/>
      <c r="D6" s="13">
        <f>男女シングルス!C47+男女ダブルス!C47+ＰＭシニア男女!C27</f>
        <v>0</v>
      </c>
      <c r="E6" s="95" t="s">
        <v>76</v>
      </c>
      <c r="F6" s="95"/>
    </row>
    <row r="7" spans="1:6" ht="40.5" customHeight="1">
      <c r="A7" s="9"/>
      <c r="B7" s="10"/>
      <c r="C7" s="10"/>
      <c r="D7" s="10"/>
      <c r="E7" s="10"/>
      <c r="F7" s="10"/>
    </row>
    <row r="8" spans="1:6" ht="40.5" customHeight="1">
      <c r="A8" s="96"/>
      <c r="B8" s="96"/>
      <c r="C8" s="28"/>
      <c r="D8" s="92"/>
      <c r="E8" s="92"/>
      <c r="F8" s="92"/>
    </row>
    <row r="9" spans="1:6" ht="40.5" customHeight="1">
      <c r="A9" s="7"/>
      <c r="B9" s="8"/>
      <c r="C9" s="8"/>
      <c r="D9" s="92"/>
      <c r="E9" s="92"/>
      <c r="F9" s="92"/>
    </row>
  </sheetData>
  <sheetProtection sheet="1" selectLockedCells="1"/>
  <mergeCells count="7">
    <mergeCell ref="D9:F9"/>
    <mergeCell ref="A1:F2"/>
    <mergeCell ref="A6:C6"/>
    <mergeCell ref="E6:F6"/>
    <mergeCell ref="A8:B8"/>
    <mergeCell ref="D8:F8"/>
    <mergeCell ref="A4:C4"/>
  </mergeCells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団体名等入力</vt:lpstr>
      <vt:lpstr>男女シングルス</vt:lpstr>
      <vt:lpstr>男女ダブルス</vt:lpstr>
      <vt:lpstr>ＰＭシニア男女</vt:lpstr>
      <vt:lpstr>団体 (記載例)</vt:lpstr>
      <vt:lpstr>シングルス (記載例)</vt:lpstr>
      <vt:lpstr>合計金額</vt:lpstr>
      <vt:lpstr>ＰＭシニア男女!Print_Area</vt:lpstr>
      <vt:lpstr>合計金額!Print_Area</vt:lpstr>
      <vt:lpstr>団体名等入力!Print_Area</vt:lpstr>
      <vt:lpstr>男女シングルス!Print_Area</vt:lpstr>
      <vt:lpstr>男女ダブルス!Print_Area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2025-12-11T14:19:55Z</dcterms:modified>
</cp:coreProperties>
</file>