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461" documentId="11_CCA4ED05194561168A232D068D6D05197D83346C" xr6:coauthVersionLast="47" xr6:coauthVersionMax="47" xr10:uidLastSave="{8317110B-588E-465B-9353-878E76D40E1C}"/>
  <bookViews>
    <workbookView xWindow="2295" yWindow="420" windowWidth="17745" windowHeight="13020" tabRatio="731" xr2:uid="{00000000-000D-0000-FFFF-FFFF00000000}"/>
  </bookViews>
  <sheets>
    <sheet name="団体名等入力" sheetId="3" r:id="rId1"/>
    <sheet name="男女団体" sheetId="16" r:id="rId2"/>
    <sheet name="男女シングルス" sheetId="17" r:id="rId3"/>
    <sheet name="領収書" sheetId="2" r:id="rId4"/>
    <sheet name="ダブルス" sheetId="4" state="hidden" r:id="rId5"/>
  </sheets>
  <definedNames>
    <definedName name="_xlnm._FilterDatabase" localSheetId="2" hidden="1">男女シングルス!$A$4:$J$17</definedName>
    <definedName name="_xlnm.Print_Area" localSheetId="0">団体名等入力!$A$1:$D$4</definedName>
    <definedName name="_xlnm.Print_Area" localSheetId="2">男女シングルス!$A$1:$F$48</definedName>
    <definedName name="_xlnm.Print_Area" localSheetId="1">男女団体!$A$1:$K$25</definedName>
    <definedName name="_xlnm.Print_Area" localSheetId="3">領収書!$A$1:$D$9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7" l="1"/>
  <c r="C1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O9" i="16"/>
  <c r="P9" i="16" s="1"/>
  <c r="O8" i="16"/>
  <c r="P8" i="16" s="1"/>
  <c r="O7" i="16"/>
  <c r="P7" i="16" s="1"/>
  <c r="O6" i="16"/>
  <c r="P6" i="16" s="1"/>
  <c r="O5" i="16"/>
  <c r="P5" i="16" s="1"/>
  <c r="O12" i="16"/>
  <c r="P12" i="16" s="1"/>
  <c r="O11" i="16"/>
  <c r="P11" i="16" s="1"/>
  <c r="O13" i="16"/>
  <c r="P13" i="16" s="1"/>
  <c r="D2" i="16"/>
  <c r="D1" i="16"/>
  <c r="I37" i="16"/>
  <c r="K37" i="16" s="1"/>
  <c r="I36" i="16"/>
  <c r="K36" i="16" s="1"/>
  <c r="I35" i="16"/>
  <c r="K35" i="16" s="1"/>
  <c r="I34" i="16"/>
  <c r="K34" i="16" s="1"/>
  <c r="I33" i="16"/>
  <c r="K33" i="16" s="1"/>
  <c r="I32" i="16"/>
  <c r="K32" i="16" s="1"/>
  <c r="I31" i="16"/>
  <c r="K31" i="16" s="1"/>
  <c r="I30" i="16"/>
  <c r="K30" i="16" s="1"/>
  <c r="I24" i="16"/>
  <c r="O22" i="16"/>
  <c r="P22" i="16" s="1"/>
  <c r="O21" i="16"/>
  <c r="P21" i="16" s="1"/>
  <c r="O20" i="16"/>
  <c r="P20" i="16" s="1"/>
  <c r="O19" i="16"/>
  <c r="P19" i="16" s="1"/>
  <c r="O18" i="16"/>
  <c r="P18" i="16" s="1"/>
  <c r="O17" i="16"/>
  <c r="P17" i="16" s="1"/>
  <c r="O16" i="16"/>
  <c r="P16" i="16" s="1"/>
  <c r="O15" i="16"/>
  <c r="P15" i="16" s="1"/>
  <c r="O14" i="16"/>
  <c r="P14" i="16" s="1"/>
  <c r="O10" i="16"/>
  <c r="I9" i="17" l="1"/>
  <c r="K9" i="17" s="1"/>
  <c r="I16" i="17"/>
  <c r="K16" i="17" s="1"/>
  <c r="I13" i="17"/>
  <c r="K13" i="17" s="1"/>
  <c r="I11" i="17"/>
  <c r="K11" i="17" s="1"/>
  <c r="I14" i="17"/>
  <c r="K14" i="17" s="1"/>
  <c r="I12" i="17"/>
  <c r="K12" i="17" s="1"/>
  <c r="I15" i="17"/>
  <c r="K15" i="17" s="1"/>
  <c r="I10" i="17"/>
  <c r="K10" i="17" s="1"/>
  <c r="O25" i="16"/>
  <c r="P10" i="16"/>
  <c r="K28" i="16"/>
  <c r="I25" i="16" s="1"/>
  <c r="I28" i="16"/>
  <c r="K7" i="17" l="1"/>
  <c r="C47" i="17" s="1"/>
  <c r="C4" i="2" s="1"/>
  <c r="I7" i="17"/>
  <c r="C46" i="17" s="1"/>
  <c r="A4" i="2" l="1"/>
  <c r="L6" i="4" l="1"/>
  <c r="L7" i="4"/>
  <c r="L8" i="4"/>
  <c r="L9" i="4"/>
  <c r="L10" i="4"/>
  <c r="N10" i="4" s="1"/>
  <c r="O10" i="4" s="1"/>
  <c r="L11" i="4"/>
  <c r="L12" i="4"/>
  <c r="N12" i="4" s="1"/>
  <c r="O12" i="4" s="1"/>
  <c r="L13" i="4"/>
  <c r="N13" i="4" s="1"/>
  <c r="O13" i="4" s="1"/>
  <c r="L14" i="4"/>
  <c r="N14" i="4" s="1"/>
  <c r="O14" i="4" s="1"/>
  <c r="L15" i="4"/>
  <c r="L16" i="4"/>
  <c r="L17" i="4"/>
  <c r="L18" i="4"/>
  <c r="L19" i="4"/>
  <c r="L20" i="4"/>
  <c r="N20" i="4" s="1"/>
  <c r="O20" i="4" s="1"/>
  <c r="L21" i="4"/>
  <c r="N21" i="4" s="1"/>
  <c r="O21" i="4" s="1"/>
  <c r="L22" i="4"/>
  <c r="N22" i="4" s="1"/>
  <c r="O22" i="4" s="1"/>
  <c r="L23" i="4"/>
  <c r="L24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5" i="4"/>
  <c r="L5" i="4"/>
  <c r="N18" i="4" l="1"/>
  <c r="O18" i="4" s="1"/>
  <c r="N6" i="4"/>
  <c r="O6" i="4" s="1"/>
  <c r="N17" i="4"/>
  <c r="O17" i="4" s="1"/>
  <c r="N9" i="4"/>
  <c r="O9" i="4" s="1"/>
  <c r="N24" i="4"/>
  <c r="O24" i="4" s="1"/>
  <c r="N16" i="4"/>
  <c r="O16" i="4" s="1"/>
  <c r="N23" i="4"/>
  <c r="O23" i="4" s="1"/>
  <c r="N19" i="4"/>
  <c r="O19" i="4" s="1"/>
  <c r="N15" i="4"/>
  <c r="O15" i="4" s="1"/>
  <c r="N11" i="4"/>
  <c r="O11" i="4" s="1"/>
  <c r="N8" i="4"/>
  <c r="O8" i="4" s="1"/>
  <c r="N7" i="4"/>
  <c r="O7" i="4" s="1"/>
  <c r="N5" i="4"/>
  <c r="M25" i="4"/>
  <c r="L25" i="4"/>
  <c r="C6" i="2"/>
  <c r="O5" i="4" l="1"/>
  <c r="O25" i="4" s="1"/>
  <c r="K27" i="4" s="1"/>
  <c r="N25" i="4"/>
  <c r="C1" i="4"/>
  <c r="C2" i="4"/>
  <c r="K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N4" authorId="0" shapeId="0" xr:uid="{03F3F4D1-826B-4A7D-B154-ECA463B7ED8A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4" authorId="0" shapeId="0" xr:uid="{6C832033-E805-43AA-8572-5CCE0EB97445}">
      <text>
        <r>
          <rPr>
            <b/>
            <sz val="9"/>
            <color indexed="81"/>
            <rFont val="MS P ゴシック"/>
            <family val="3"/>
            <charset val="128"/>
          </rPr>
          <t>小学６年で一般の部を希望する方、中学３年、高校３年、釧路管外の中学生で一般を希望する方は、一般を選択してください。
参加料は７００円です。</t>
        </r>
      </text>
    </comment>
    <comment ref="F4" authorId="0" shapeId="0" xr:uid="{D8809564-295E-4BAD-877B-88EF80FABEF6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sharedStrings.xml><?xml version="1.0" encoding="utf-8"?>
<sst xmlns="http://schemas.openxmlformats.org/spreadsheetml/2006/main" count="82" uniqueCount="62">
  <si>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</si>
  <si>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</si>
  <si>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</si>
  <si>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登録団体名</t>
    <rPh sb="0" eb="2">
      <t>トウロク</t>
    </rPh>
    <rPh sb="2" eb="4">
      <t>ダンタイ</t>
    </rPh>
    <rPh sb="4" eb="5">
      <t>メイ</t>
    </rPh>
    <phoneticPr fontId="1"/>
  </si>
  <si>
    <t>金額</t>
    <rPh sb="0" eb="2">
      <t>キンガク</t>
    </rPh>
    <phoneticPr fontId="1"/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</si>
  <si>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</si>
  <si>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</si>
  <si>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</si>
  <si>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団体名（氏名１）</t>
    <rPh sb="0" eb="2">
      <t>ダンタイ</t>
    </rPh>
    <rPh sb="2" eb="3">
      <t>メイ</t>
    </rPh>
    <rPh sb="4" eb="6">
      <t>シメイ</t>
    </rPh>
    <phoneticPr fontId="1"/>
  </si>
  <si>
    <t>団体名（氏名２）</t>
    <rPh sb="0" eb="2">
      <t>ダンタイ</t>
    </rPh>
    <rPh sb="2" eb="3">
      <t>メイ</t>
    </rPh>
    <rPh sb="4" eb="6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</si>
  <si>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</si>
  <si>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</si>
  <si>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</si>
  <si>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氏名5</t>
    <rPh sb="0" eb="2">
      <t>シメイ</t>
    </rPh>
    <phoneticPr fontId="1"/>
  </si>
  <si>
    <t>氏名6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</si>
  <si>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</si>
  <si>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</si>
  <si>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釧路卓球協会</t>
    <rPh sb="0" eb="2">
      <t>クシロ</t>
    </rPh>
    <rPh sb="2" eb="4">
      <t>タッキュウ</t>
    </rPh>
    <rPh sb="4" eb="6">
      <t>キョウカイ</t>
    </rPh>
    <phoneticPr fontId="1"/>
  </si>
  <si>
    <t>として</t>
    <phoneticPr fontId="1"/>
  </si>
  <si>
    <t>ただし、大会参加料</t>
    <rPh sb="4" eb="6">
      <t>タイカイ</t>
    </rPh>
    <rPh sb="6" eb="9">
      <t>サンカリョウ</t>
    </rPh>
    <phoneticPr fontId="1"/>
  </si>
  <si>
    <t>領　収　書</t>
    <rPh sb="0" eb="1">
      <t>リョウ</t>
    </rPh>
    <rPh sb="2" eb="3">
      <t>オサム</t>
    </rPh>
    <rPh sb="4" eb="5">
      <t>ショ</t>
    </rPh>
    <phoneticPr fontId="1"/>
  </si>
  <si>
    <t>　</t>
  </si>
  <si>
    <t>出場種目</t>
    <rPh sb="0" eb="2">
      <t>シュツジョウ</t>
    </rPh>
    <rPh sb="2" eb="4">
      <t>シュモク</t>
    </rPh>
    <phoneticPr fontId="1"/>
  </si>
  <si>
    <t>年齢1
（年度末）</t>
    <rPh sb="0" eb="2">
      <t>ネンレイ</t>
    </rPh>
    <rPh sb="5" eb="8">
      <t>ネンドマツ</t>
    </rPh>
    <phoneticPr fontId="1"/>
  </si>
  <si>
    <t>年齢2
（年度末）</t>
    <rPh sb="0" eb="2">
      <t>ネンレイ</t>
    </rPh>
    <rPh sb="5" eb="8">
      <t>ネンドマツ</t>
    </rPh>
    <phoneticPr fontId="1"/>
  </si>
  <si>
    <t>区分</t>
    <rPh sb="0" eb="2">
      <t>クブン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</si>
  <si>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</si>
  <si>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※一般は、確定年代別(年度末の満年令)ですが、エントリーが1名の場合は、</t>
    <phoneticPr fontId="1"/>
  </si>
  <si>
    <t>　一つ下のクラス(年代)への参加となります。</t>
    <phoneticPr fontId="1"/>
  </si>
  <si>
    <t>※各種目、2名以上の参加で成立とします。</t>
    <phoneticPr fontId="1"/>
  </si>
  <si>
    <t>申込責任者</t>
    <rPh sb="0" eb="2">
      <t>モウシコミ</t>
    </rPh>
    <rPh sb="2" eb="5">
      <t>セキニンシャ</t>
    </rPh>
    <phoneticPr fontId="1"/>
  </si>
  <si>
    <t>※小6、中3、高3は、一般の部（30歳未満）への出場となります。</t>
    <rPh sb="1" eb="2">
      <t>ショウ</t>
    </rPh>
    <phoneticPr fontId="1"/>
  </si>
  <si>
    <t>≪参加料は、大会当日の開会式前(午前8時15分～8時45分の間)に受付（ステージ左側）でお支払いください。≫</t>
  </si>
  <si>
    <t>会長　山本　満</t>
    <rPh sb="0" eb="2">
      <t>カイチョウ</t>
    </rPh>
    <rPh sb="3" eb="5">
      <t>ヤマモト</t>
    </rPh>
    <rPh sb="6" eb="7">
      <t>ミツル</t>
    </rPh>
    <phoneticPr fontId="1"/>
  </si>
  <si>
    <t>種目</t>
    <rPh sb="0" eb="2">
      <t>シュモク</t>
    </rPh>
    <phoneticPr fontId="1"/>
  </si>
  <si>
    <t>第32回バタフライダブルスチームカップ年代別・学年別選手権</t>
    <rPh sb="0" eb="1">
      <t>ダイ</t>
    </rPh>
    <rPh sb="3" eb="4">
      <t>カイ</t>
    </rPh>
    <rPh sb="19" eb="22">
      <t>ネンダイベツ</t>
    </rPh>
    <rPh sb="23" eb="26">
      <t>ガクネンベツ</t>
    </rPh>
    <rPh sb="26" eb="29">
      <t>センシュケン</t>
    </rPh>
    <phoneticPr fontId="1"/>
  </si>
  <si>
    <t>団体（男子・女子）</t>
    <rPh sb="0" eb="2">
      <t>ダンタイ</t>
    </rPh>
    <rPh sb="3" eb="5">
      <t>ダンシ</t>
    </rPh>
    <rPh sb="6" eb="8">
      <t>ジョシ</t>
    </rPh>
    <phoneticPr fontId="1"/>
  </si>
  <si>
    <t>氏名9</t>
    <rPh sb="0" eb="2">
      <t>シメイ</t>
    </rPh>
    <phoneticPr fontId="1"/>
  </si>
  <si>
    <t>氏名10</t>
    <rPh sb="0" eb="2">
      <t>シメイ</t>
    </rPh>
    <phoneticPr fontId="1"/>
  </si>
  <si>
    <t>申込数合計</t>
    <rPh sb="0" eb="2">
      <t>モウシコミ</t>
    </rPh>
    <rPh sb="2" eb="3">
      <t>スウ</t>
    </rPh>
    <rPh sb="3" eb="5">
      <t>ゴウケイ</t>
    </rPh>
    <phoneticPr fontId="17"/>
  </si>
  <si>
    <t>金額合計</t>
    <rPh sb="0" eb="4">
      <t>キンガクゴウケイ</t>
    </rPh>
    <phoneticPr fontId="17"/>
  </si>
  <si>
    <t>申込区分</t>
    <rPh sb="0" eb="2">
      <t>モウシコミ</t>
    </rPh>
    <rPh sb="2" eb="4">
      <t>クブン</t>
    </rPh>
    <phoneticPr fontId="17"/>
  </si>
  <si>
    <t>申込数</t>
    <rPh sb="0" eb="2">
      <t>モウシコミ</t>
    </rPh>
    <rPh sb="2" eb="3">
      <t>スウ</t>
    </rPh>
    <phoneticPr fontId="17"/>
  </si>
  <si>
    <t>金額</t>
    <rPh sb="0" eb="2">
      <t>キンガク</t>
    </rPh>
    <phoneticPr fontId="17"/>
  </si>
  <si>
    <t>計</t>
    <rPh sb="0" eb="1">
      <t>ケイ</t>
    </rPh>
    <phoneticPr fontId="17"/>
  </si>
  <si>
    <t>一般男子</t>
    <rPh sb="0" eb="4">
      <t>イッパンダンシ</t>
    </rPh>
    <phoneticPr fontId="17"/>
  </si>
  <si>
    <t>一般女子</t>
    <rPh sb="0" eb="4">
      <t>イッパンジョシ</t>
    </rPh>
    <phoneticPr fontId="17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</si>
  <si>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</si>
  <si>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</si>
  <si>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中学男子</t>
    <rPh sb="0" eb="2">
      <t>チュウガク</t>
    </rPh>
    <rPh sb="2" eb="4">
      <t>ダンシ</t>
    </rPh>
    <phoneticPr fontId="1"/>
  </si>
  <si>
    <t>中学女子</t>
    <rPh sb="0" eb="4">
      <t>チュウガクジョシ</t>
    </rPh>
    <phoneticPr fontId="1"/>
  </si>
  <si>
    <t>小学男子</t>
    <rPh sb="0" eb="4">
      <t>ショウガクダンシ</t>
    </rPh>
    <phoneticPr fontId="1"/>
  </si>
  <si>
    <t>小学女子</t>
    <rPh sb="0" eb="4">
      <t>ショウガクジョシ</t>
    </rPh>
    <phoneticPr fontId="1"/>
  </si>
  <si>
    <t>シングルス（男子・女子）</t>
    <rPh sb="6" eb="8">
      <t>ダンシ</t>
    </rPh>
    <rPh sb="9" eb="11">
      <t>ジョシ</t>
    </rPh>
    <phoneticPr fontId="1"/>
  </si>
  <si>
    <t>備考</t>
    <rPh sb="0" eb="2">
      <t>ビコウ</t>
    </rPh>
    <phoneticPr fontId="17"/>
  </si>
  <si>
    <t>高校1・2年男子</t>
    <rPh sb="0" eb="2">
      <t>コウコウ</t>
    </rPh>
    <rPh sb="5" eb="6">
      <t>ネン</t>
    </rPh>
    <rPh sb="6" eb="8">
      <t>ダンシ</t>
    </rPh>
    <phoneticPr fontId="1"/>
  </si>
  <si>
    <t>高校1・2年女子</t>
    <rPh sb="0" eb="2">
      <t>コウコウ</t>
    </rPh>
    <rPh sb="5" eb="6">
      <t>ネン</t>
    </rPh>
    <rPh sb="6" eb="8">
      <t>ジョシ</t>
    </rPh>
    <phoneticPr fontId="1"/>
  </si>
  <si>
    <t>中学1・2年男子</t>
    <rPh sb="0" eb="2">
      <t>チュウガク</t>
    </rPh>
    <rPh sb="5" eb="6">
      <t>ネン</t>
    </rPh>
    <rPh sb="6" eb="8">
      <t>ダンシ</t>
    </rPh>
    <phoneticPr fontId="1"/>
  </si>
  <si>
    <t>中学1・2年女子</t>
    <rPh sb="0" eb="2">
      <t>チュウガク</t>
    </rPh>
    <rPh sb="5" eb="6">
      <t>ネン</t>
    </rPh>
    <rPh sb="6" eb="8">
      <t>ジョシ</t>
    </rPh>
    <phoneticPr fontId="1"/>
  </si>
  <si>
    <t>小学以下男子</t>
    <rPh sb="0" eb="2">
      <t>ショウガク</t>
    </rPh>
    <rPh sb="2" eb="4">
      <t>イカ</t>
    </rPh>
    <rPh sb="4" eb="6">
      <t>ダンシ</t>
    </rPh>
    <phoneticPr fontId="1"/>
  </si>
  <si>
    <t>小学以下女子</t>
    <rPh sb="0" eb="2">
      <t>ショウガク</t>
    </rPh>
    <rPh sb="2" eb="4">
      <t>イカ</t>
    </rPh>
    <rPh sb="4" eb="6">
      <t>ジョシ</t>
    </rPh>
    <phoneticPr fontId="1"/>
  </si>
  <si>
    <t>エントリーの年代</t>
    <rPh sb="6" eb="8">
      <t>ネンダイ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</si>
</sst>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176" formatCode="#,##0&quot;人&quot;"/>
    <numFmt numFmtId="177" formatCode="#,##0&quot;組&quot;"/>
    <numFmt numFmtId="178" formatCode="#,##0&quot;チーム&quot;"/>
    <numFmt numFmtId="179" formatCode="[$-411]ggge&quot;年&quot;m&quot;月&quot;d&quot;日&quot;;@"/>
    <numFmt numFmtId="180" formatCode="@&quot;　様&quot;"/>
    <numFmt numFmtId="181" formatCode="\(\ @\ \)"/>
  </numFmts>
  <fonts count="20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b/>
      <sz val="10.5"/>
      <color theme="1"/>
      <name val="HG丸ｺﾞｼｯｸM-PRO"/>
      <family val="3"/>
      <charset val="128"/>
    </font>
    <font>
      <sz val="11"/>
      <color rgb="FFFF0000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6" fillId="0" borderId="0" applyFont="0" applyFill="0" applyBorder="0" applyAlignment="0" applyProtection="0">
      <alignment vertical="center"/>
    </xf>
    <xf numFmtId="0" fontId="16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5" fontId="0" fillId="0" borderId="0" xfId="0" applyNumberFormat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177" fontId="0" fillId="0" borderId="0" xfId="0" applyNumberFormat="1" applyAlignment="1">
      <alignment horizontal="right" vertical="center"/>
    </xf>
    <xf numFmtId="180" fontId="3" fillId="0" borderId="0" xfId="0" applyNumberFormat="1" applyFont="1" applyAlignment="1">
      <alignment horizontal="left" vertical="center"/>
    </xf>
    <xf numFmtId="5" fontId="9" fillId="0" borderId="0" xfId="0" applyNumberFormat="1" applyFont="1" applyAlignment="1">
      <alignment horizontal="center" vertical="center"/>
    </xf>
    <xf numFmtId="5" fontId="9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78" fontId="0" fillId="0" borderId="2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vertical="center" shrinkToFit="1"/>
      <protection locked="0"/>
    </xf>
    <xf numFmtId="0" fontId="0" fillId="0" borderId="1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181" fontId="13" fillId="0" borderId="0" xfId="0" applyNumberFormat="1" applyFont="1" applyAlignment="1">
      <alignment horizontal="center" vertical="center" wrapText="1" shrinkToFi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16" fillId="0" borderId="0" xfId="2"/>
    <xf numFmtId="38" fontId="16" fillId="0" borderId="0" xfId="1" applyFont="1" applyAlignment="1" applyProtection="1"/>
    <xf numFmtId="0" fontId="16" fillId="0" borderId="0" xfId="2" applyAlignment="1">
      <alignment horizontal="center" vertical="center"/>
    </xf>
    <xf numFmtId="38" fontId="16" fillId="0" borderId="0" xfId="1" applyFont="1" applyAlignment="1" applyProtection="1">
      <alignment horizontal="center" vertical="center"/>
    </xf>
    <xf numFmtId="0" fontId="0" fillId="0" borderId="0" xfId="2" applyFont="1"/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0" borderId="11" xfId="0" applyBorder="1" applyAlignment="1" applyProtection="1">
      <alignment vertical="center" shrinkToFit="1"/>
      <protection locked="0"/>
    </xf>
    <xf numFmtId="0" fontId="0" fillId="0" borderId="0" xfId="0" applyAlignment="1" applyProtection="1">
      <alignment vertical="center" shrinkToFit="1"/>
      <protection locked="0"/>
    </xf>
    <xf numFmtId="0" fontId="2" fillId="0" borderId="0" xfId="0" applyFont="1" applyAlignment="1" applyProtection="1">
      <alignment vertical="center" shrinkToFit="1"/>
      <protection locked="0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3" fillId="0" borderId="9" xfId="0" applyFont="1" applyBorder="1" applyAlignment="1">
      <alignment vertical="center"/>
    </xf>
    <xf numFmtId="0" fontId="16" fillId="5" borderId="1" xfId="2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0" fontId="16" fillId="3" borderId="0" xfId="2" applyFill="1" applyAlignment="1">
      <alignment horizontal="center" vertical="center"/>
    </xf>
    <xf numFmtId="0" fontId="16" fillId="5" borderId="1" xfId="2" applyFill="1" applyBorder="1" applyAlignment="1">
      <alignment horizontal="center"/>
    </xf>
    <xf numFmtId="0" fontId="16" fillId="6" borderId="1" xfId="2" applyFill="1" applyBorder="1" applyAlignment="1" applyProtection="1">
      <alignment horizontal="center" vertical="center"/>
      <protection locked="0"/>
    </xf>
    <xf numFmtId="0" fontId="2" fillId="6" borderId="1" xfId="2" applyFont="1" applyFill="1" applyBorder="1" applyAlignment="1" applyProtection="1">
      <alignment vertical="center" shrinkToFit="1"/>
      <protection locked="0"/>
    </xf>
    <xf numFmtId="0" fontId="0" fillId="6" borderId="1" xfId="2" applyFont="1" applyFill="1" applyBorder="1" applyAlignment="1" applyProtection="1">
      <alignment horizontal="center" vertical="center" shrinkToFit="1"/>
      <protection locked="0"/>
    </xf>
    <xf numFmtId="0" fontId="0" fillId="0" borderId="1" xfId="2" applyFont="1" applyBorder="1" applyAlignment="1" applyProtection="1">
      <alignment shrinkToFit="1"/>
      <protection locked="0"/>
    </xf>
    <xf numFmtId="0" fontId="16" fillId="0" borderId="0" xfId="2" applyAlignment="1">
      <alignment shrinkToFit="1"/>
    </xf>
    <xf numFmtId="0" fontId="16" fillId="6" borderId="1" xfId="2" applyFill="1" applyBorder="1" applyAlignment="1" applyProtection="1">
      <alignment horizontal="center" vertical="center" shrinkToFit="1"/>
      <protection locked="0"/>
    </xf>
    <xf numFmtId="0" fontId="16" fillId="0" borderId="1" xfId="2" applyBorder="1" applyAlignment="1" applyProtection="1">
      <alignment shrinkToFit="1"/>
      <protection locked="0"/>
    </xf>
    <xf numFmtId="0" fontId="16" fillId="6" borderId="1" xfId="2" applyFill="1" applyBorder="1" applyProtection="1">
      <protection locked="0"/>
    </xf>
    <xf numFmtId="0" fontId="18" fillId="6" borderId="1" xfId="2" applyFont="1" applyFill="1" applyBorder="1" applyAlignment="1" applyProtection="1">
      <alignment horizontal="right"/>
      <protection locked="0"/>
    </xf>
    <xf numFmtId="0" fontId="0" fillId="2" borderId="13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5" fontId="0" fillId="0" borderId="16" xfId="0" applyNumberFormat="1" applyBorder="1" applyAlignment="1">
      <alignment horizontal="right" vertical="center"/>
    </xf>
    <xf numFmtId="0" fontId="14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2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left" vertical="center" shrinkToFit="1"/>
    </xf>
    <xf numFmtId="179" fontId="4" fillId="0" borderId="0" xfId="0" applyNumberFormat="1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EC38B066-D26E-41F8-9AD8-3E58C45E940D}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CFFCC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D6"/>
  <sheetViews>
    <sheetView tabSelected="1" view="pageBreakPreview" zoomScaleNormal="100" zoomScaleSheetLayoutView="100" workbookViewId="0">
      <selection activeCell="B3" sqref="B3"/>
    </sheetView>
  </sheetViews>
  <sheetFormatPr defaultRowHeight="12.75"/>
  <cols>
    <col min="1" max="1" width="34.59765625" customWidth="1"/>
    <col min="2" max="4" width="20.59765625" customWidth="1"/>
  </cols>
  <sheetData>
    <row r="2" spans="1:4" ht="29.25" customHeight="1">
      <c r="A2" s="37" t="s">
        <v>0</v>
      </c>
      <c r="B2" s="37" t="s">
        <v>2</v>
      </c>
      <c r="C2" s="37" t="s">
        <v>30</v>
      </c>
      <c r="D2" s="37" t="s">
        <v>26</v>
      </c>
    </row>
    <row r="3" spans="1:4" ht="39.75" customHeight="1">
      <c r="A3" s="28" t="s">
        <v>35</v>
      </c>
      <c r="B3" s="33"/>
      <c r="C3" s="33"/>
      <c r="D3" s="33"/>
    </row>
    <row r="4" spans="1:4" ht="30" customHeight="1">
      <c r="A4" s="78" t="s">
        <v>32</v>
      </c>
      <c r="B4" s="79"/>
      <c r="C4" s="79"/>
      <c r="D4" s="79"/>
    </row>
    <row r="5" spans="1:4" ht="30" customHeight="1">
      <c r="A5" s="75"/>
      <c r="B5" s="75"/>
      <c r="C5" s="75"/>
      <c r="D5" s="75"/>
    </row>
    <row r="6" spans="1:4" ht="29.65" customHeight="1">
      <c r="A6" s="76"/>
      <c r="B6" s="77"/>
      <c r="C6" s="77"/>
      <c r="D6" s="77"/>
    </row>
  </sheetData>
  <sheetProtection sheet="1" selectLockedCells="1"/>
  <protectedRanges>
    <protectedRange sqref="A3:D3" name="範囲1"/>
  </protectedRanges>
  <mergeCells count="3">
    <mergeCell ref="A5:D5"/>
    <mergeCell ref="A6:D6"/>
    <mergeCell ref="A4:D4"/>
  </mergeCells>
  <phoneticPr fontId="1"/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5C96-B45D-406F-8055-40B49E069C8F}">
  <sheetPr>
    <tabColor theme="5" tint="0.79998168889431442"/>
  </sheetPr>
  <dimension ref="A1:P3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2.73046875" style="1" customWidth="1"/>
    <col min="3" max="3" width="20.3984375" customWidth="1"/>
    <col min="4" max="5" width="13.3984375" customWidth="1"/>
    <col min="6" max="6" width="13.3984375" style="2" customWidth="1"/>
    <col min="7" max="11" width="13.3984375" customWidth="1"/>
    <col min="12" max="12" width="11.46484375" hidden="1" customWidth="1"/>
    <col min="13" max="13" width="0" hidden="1" customWidth="1"/>
    <col min="14" max="16" width="11.46484375" hidden="1" customWidth="1"/>
  </cols>
  <sheetData>
    <row r="1" spans="1:16" s="3" customFormat="1" ht="19.5" customHeight="1">
      <c r="A1" s="80" t="s">
        <v>0</v>
      </c>
      <c r="B1" s="80"/>
      <c r="C1" s="80"/>
      <c r="D1" s="80" t="str">
        <f>団体名等入力!A3</f>
        <v>第32回バタフライダブルスチームカップ年代別・学年別選手権</v>
      </c>
      <c r="E1" s="80"/>
      <c r="F1" s="80"/>
      <c r="G1" s="80"/>
      <c r="H1" s="80"/>
      <c r="I1" s="80"/>
    </row>
    <row r="2" spans="1:16" ht="19.5" customHeight="1" thickBot="1">
      <c r="A2" s="80" t="s">
        <v>2</v>
      </c>
      <c r="B2" s="80"/>
      <c r="C2" s="80"/>
      <c r="D2" s="80" t="str">
        <f>IF(団体名等入力!B3="","",団体名等入力!B3)</f>
        <v/>
      </c>
      <c r="E2" s="80"/>
      <c r="F2" s="80"/>
      <c r="G2" s="80"/>
      <c r="H2" s="80"/>
      <c r="I2" s="80"/>
    </row>
    <row r="3" spans="1:16" ht="19.5" customHeight="1">
      <c r="A3" s="81" t="s">
        <v>36</v>
      </c>
      <c r="B3" s="81"/>
      <c r="C3" s="81"/>
      <c r="D3" s="1"/>
      <c r="E3" s="1"/>
    </row>
    <row r="4" spans="1:16" s="2" customFormat="1" ht="19.5" customHeight="1">
      <c r="A4" s="41"/>
      <c r="B4" s="41" t="s">
        <v>25</v>
      </c>
      <c r="C4" s="41" t="s">
        <v>10</v>
      </c>
      <c r="D4" s="41" t="s">
        <v>6</v>
      </c>
      <c r="E4" s="41" t="s">
        <v>7</v>
      </c>
      <c r="F4" s="41" t="s">
        <v>11</v>
      </c>
      <c r="G4" s="41" t="s">
        <v>12</v>
      </c>
      <c r="H4" s="41" t="s">
        <v>13</v>
      </c>
      <c r="I4" s="41" t="s">
        <v>14</v>
      </c>
      <c r="L4" s="50" t="s">
        <v>37</v>
      </c>
      <c r="M4" s="30" t="s">
        <v>38</v>
      </c>
      <c r="N4" s="32" t="s">
        <v>16</v>
      </c>
    </row>
    <row r="5" spans="1:16" ht="19.5" customHeight="1">
      <c r="A5" s="42">
        <v>1</v>
      </c>
      <c r="B5" s="14"/>
      <c r="C5" s="33"/>
      <c r="D5" s="34"/>
      <c r="E5" s="35"/>
      <c r="F5" s="35"/>
      <c r="G5" s="35"/>
      <c r="H5" s="35"/>
      <c r="I5" s="35"/>
      <c r="J5" s="53"/>
      <c r="K5" s="53"/>
      <c r="L5" s="51" ph="1"/>
      <c r="M5" s="43" ph="1"/>
      <c r="N5" s="32"/>
      <c r="O5">
        <f t="shared" ref="O5:O9" si="0">IF(OR(B5="一般",B5="大学"),3000,IF(OR(B5="高校",B5="中学",B5="小学"),2000,0))</f>
        <v>0</v>
      </c>
      <c r="P5">
        <f>IF(N5="登録",O5,O5*1)</f>
        <v>0</v>
      </c>
    </row>
    <row r="6" spans="1:16" ht="19.5" customHeight="1">
      <c r="A6" s="42">
        <v>2</v>
      </c>
      <c r="B6" s="14"/>
      <c r="C6" s="33"/>
      <c r="D6" s="35"/>
      <c r="E6" s="35"/>
      <c r="F6" s="35"/>
      <c r="G6" s="34"/>
      <c r="H6" s="35"/>
      <c r="I6" s="34"/>
      <c r="J6" s="53"/>
      <c r="K6" s="54"/>
      <c r="L6" s="51"/>
      <c r="M6" s="44" ph="1"/>
      <c r="N6" s="32"/>
      <c r="O6">
        <f t="shared" si="0"/>
        <v>0</v>
      </c>
      <c r="P6">
        <f t="shared" ref="P6:P9" si="1">IF(N6="登録",O6,O6*1)</f>
        <v>0</v>
      </c>
    </row>
    <row r="7" spans="1:16" ht="19.5" customHeight="1">
      <c r="A7" s="42">
        <v>3</v>
      </c>
      <c r="B7" s="14"/>
      <c r="C7" s="33"/>
      <c r="D7" s="35"/>
      <c r="E7" s="35"/>
      <c r="F7" s="35"/>
      <c r="G7" s="34"/>
      <c r="H7" s="35"/>
      <c r="I7" s="34"/>
      <c r="J7" s="53"/>
      <c r="K7" s="54"/>
      <c r="L7" s="51"/>
      <c r="M7" s="44" ph="1"/>
      <c r="N7" s="32"/>
      <c r="O7">
        <f t="shared" si="0"/>
        <v>0</v>
      </c>
      <c r="P7">
        <f t="shared" si="1"/>
        <v>0</v>
      </c>
    </row>
    <row r="8" spans="1:16" ht="19.5" customHeight="1">
      <c r="A8" s="42">
        <v>4</v>
      </c>
      <c r="B8" s="14"/>
      <c r="C8" s="33"/>
      <c r="D8" s="35"/>
      <c r="E8" s="35"/>
      <c r="F8" s="35"/>
      <c r="G8" s="34"/>
      <c r="H8" s="35"/>
      <c r="I8" s="34"/>
      <c r="J8" s="53"/>
      <c r="K8" s="54"/>
      <c r="L8" s="51"/>
      <c r="M8" s="44" ph="1"/>
      <c r="N8" s="32"/>
      <c r="O8">
        <f t="shared" si="0"/>
        <v>0</v>
      </c>
      <c r="P8">
        <f t="shared" si="1"/>
        <v>0</v>
      </c>
    </row>
    <row r="9" spans="1:16" ht="19.5" customHeight="1">
      <c r="A9" s="42">
        <v>5</v>
      </c>
      <c r="B9" s="14"/>
      <c r="C9" s="33"/>
      <c r="D9" s="35"/>
      <c r="E9" s="35"/>
      <c r="F9" s="35"/>
      <c r="G9" s="34"/>
      <c r="H9" s="35"/>
      <c r="I9" s="34"/>
      <c r="J9" s="53"/>
      <c r="K9" s="54"/>
      <c r="L9" s="51"/>
      <c r="M9" s="44" ph="1"/>
      <c r="N9" s="32"/>
      <c r="O9">
        <f t="shared" si="0"/>
        <v>0</v>
      </c>
      <c r="P9">
        <f t="shared" si="1"/>
        <v>0</v>
      </c>
    </row>
    <row r="10" spans="1:16" ht="19.5" customHeight="1">
      <c r="A10" s="42">
        <v>6</v>
      </c>
      <c r="B10" s="14"/>
      <c r="C10" s="33"/>
      <c r="D10" s="34"/>
      <c r="E10" s="35"/>
      <c r="F10" s="35"/>
      <c r="G10" s="35"/>
      <c r="H10" s="35"/>
      <c r="I10" s="35"/>
      <c r="J10" s="53"/>
      <c r="K10" s="53"/>
      <c r="L10" s="51" ph="1"/>
      <c r="M10" s="43" ph="1"/>
      <c r="N10" s="32"/>
      <c r="O10">
        <f t="shared" ref="O10:O22" si="2">IF(OR(B10="一般",B10="大学"),3000,IF(OR(B10="高校",B10="中学",B10="小学"),2000,0))</f>
        <v>0</v>
      </c>
      <c r="P10">
        <f>IF(N10="登録",O10,O10*1)</f>
        <v>0</v>
      </c>
    </row>
    <row r="11" spans="1:16" ht="19.5" customHeight="1">
      <c r="A11" s="42">
        <v>7</v>
      </c>
      <c r="B11" s="14"/>
      <c r="C11" s="33"/>
      <c r="D11" s="35"/>
      <c r="E11" s="35"/>
      <c r="F11" s="35"/>
      <c r="G11" s="34"/>
      <c r="H11" s="35"/>
      <c r="I11" s="34"/>
      <c r="J11" s="53"/>
      <c r="K11" s="54"/>
      <c r="L11" s="51"/>
      <c r="M11" s="44" ph="1"/>
      <c r="N11" s="32"/>
      <c r="O11">
        <f t="shared" si="2"/>
        <v>0</v>
      </c>
      <c r="P11">
        <f t="shared" ref="P11:P12" si="3">IF(N11="登録",O11,O11*1)</f>
        <v>0</v>
      </c>
    </row>
    <row r="12" spans="1:16" ht="19.5" customHeight="1">
      <c r="A12" s="42">
        <v>8</v>
      </c>
      <c r="B12" s="14"/>
      <c r="C12" s="33"/>
      <c r="D12" s="35"/>
      <c r="E12" s="35"/>
      <c r="F12" s="35"/>
      <c r="G12" s="34"/>
      <c r="H12" s="35"/>
      <c r="I12" s="34"/>
      <c r="J12" s="53"/>
      <c r="K12" s="54"/>
      <c r="L12" s="51"/>
      <c r="M12" s="44" ph="1"/>
      <c r="N12" s="32"/>
      <c r="O12">
        <f t="shared" ref="O12" si="4">IF(OR(B12="一般",B12="大学"),3000,IF(OR(B12="高校",B12="中学",B12="小学"),2000,0))</f>
        <v>0</v>
      </c>
      <c r="P12">
        <f t="shared" si="3"/>
        <v>0</v>
      </c>
    </row>
    <row r="13" spans="1:16" ht="19.5" customHeight="1">
      <c r="A13" s="42">
        <v>9</v>
      </c>
      <c r="B13" s="14"/>
      <c r="C13" s="33"/>
      <c r="D13" s="35"/>
      <c r="E13" s="35"/>
      <c r="F13" s="35"/>
      <c r="G13" s="34"/>
      <c r="H13" s="35"/>
      <c r="I13" s="34"/>
      <c r="J13" s="53"/>
      <c r="K13" s="54"/>
      <c r="L13" s="51"/>
      <c r="M13" s="44" ph="1"/>
      <c r="N13" s="32"/>
      <c r="O13">
        <f t="shared" ref="O13" si="5">IF(OR(B13="一般",B13="大学"),3000,IF(OR(B13="高校",B13="中学",B13="小学"),2000,0))</f>
        <v>0</v>
      </c>
      <c r="P13">
        <f t="shared" ref="P13" si="6">IF(N13="登録",O13,O13*1)</f>
        <v>0</v>
      </c>
    </row>
    <row r="14" spans="1:16" ht="19.5" customHeight="1">
      <c r="A14" s="42">
        <v>10</v>
      </c>
      <c r="B14" s="14"/>
      <c r="C14" s="33"/>
      <c r="D14" s="35"/>
      <c r="E14" s="35"/>
      <c r="F14" s="35"/>
      <c r="G14" s="34"/>
      <c r="H14" s="35"/>
      <c r="I14" s="34"/>
      <c r="J14" s="53"/>
      <c r="K14" s="54"/>
      <c r="L14" s="51"/>
      <c r="M14" s="44" ph="1"/>
      <c r="N14" s="32"/>
      <c r="O14">
        <f t="shared" si="2"/>
        <v>0</v>
      </c>
      <c r="P14">
        <f t="shared" ref="P14:P17" si="7">IF(N14="登録",O14,O14*1)</f>
        <v>0</v>
      </c>
    </row>
    <row r="15" spans="1:16" ht="19.5" hidden="1" customHeight="1">
      <c r="A15" s="31">
        <v>3</v>
      </c>
      <c r="B15" s="14"/>
      <c r="C15" s="33"/>
      <c r="D15" s="35" ph="1"/>
      <c r="E15" s="35" ph="1"/>
      <c r="F15" s="35" ph="1"/>
      <c r="G15" s="35" ph="1"/>
      <c r="H15" s="35" ph="1"/>
      <c r="I15" s="35" ph="1"/>
      <c r="J15" s="52" ph="1"/>
      <c r="K15" s="52" ph="1"/>
      <c r="L15" s="43" ph="1"/>
      <c r="M15" s="43" ph="1"/>
      <c r="N15" s="32"/>
      <c r="O15">
        <f t="shared" si="2"/>
        <v>0</v>
      </c>
      <c r="P15">
        <f t="shared" si="7"/>
        <v>0</v>
      </c>
    </row>
    <row r="16" spans="1:16" ht="19.5" hidden="1" customHeight="1">
      <c r="A16" s="31">
        <v>4</v>
      </c>
      <c r="B16" s="14"/>
      <c r="C16" s="33"/>
      <c r="D16" s="35" ph="1"/>
      <c r="E16" s="35" ph="1"/>
      <c r="F16" s="35" ph="1"/>
      <c r="G16" s="34" ph="1"/>
      <c r="H16" s="35"/>
      <c r="I16" s="34" ph="1"/>
      <c r="J16" s="35"/>
      <c r="K16" s="34" ph="1"/>
      <c r="L16" s="43"/>
      <c r="M16" s="44" ph="1"/>
      <c r="N16" s="32"/>
      <c r="O16">
        <f t="shared" si="2"/>
        <v>0</v>
      </c>
      <c r="P16">
        <f t="shared" si="7"/>
        <v>0</v>
      </c>
    </row>
    <row r="17" spans="1:16" ht="19.5" hidden="1" customHeight="1">
      <c r="A17" s="31">
        <v>5</v>
      </c>
      <c r="B17" s="14"/>
      <c r="C17" s="33"/>
      <c r="D17" s="35" ph="1"/>
      <c r="E17" s="35" ph="1"/>
      <c r="F17" s="35" ph="1"/>
      <c r="G17" s="35" ph="1"/>
      <c r="H17" s="35" ph="1"/>
      <c r="I17" s="35" ph="1"/>
      <c r="J17" s="35" ph="1"/>
      <c r="K17" s="35" ph="1"/>
      <c r="L17" s="43" ph="1"/>
      <c r="M17" s="43" ph="1"/>
      <c r="N17" s="32"/>
      <c r="O17">
        <f t="shared" si="2"/>
        <v>0</v>
      </c>
      <c r="P17">
        <f t="shared" si="7"/>
        <v>0</v>
      </c>
    </row>
    <row r="18" spans="1:16" ht="19.5" hidden="1" customHeight="1">
      <c r="A18" s="31">
        <v>6</v>
      </c>
      <c r="B18" s="14"/>
      <c r="C18" s="33"/>
      <c r="D18" s="34" ph="1"/>
      <c r="E18" s="35" ph="1"/>
      <c r="F18" s="35" ph="1"/>
      <c r="G18" s="35" ph="1"/>
      <c r="H18" s="35"/>
      <c r="I18" s="35" ph="1"/>
      <c r="J18" s="35"/>
      <c r="K18" s="35" ph="1"/>
      <c r="L18" s="43"/>
      <c r="M18" s="43" ph="1"/>
      <c r="N18" s="32"/>
      <c r="O18">
        <f t="shared" si="2"/>
        <v>0</v>
      </c>
      <c r="P18">
        <f>IF(N18="登録",O18,O18*1)</f>
        <v>0</v>
      </c>
    </row>
    <row r="19" spans="1:16" ht="19.5" hidden="1" customHeight="1">
      <c r="A19" s="31">
        <v>7</v>
      </c>
      <c r="B19" s="14"/>
      <c r="C19" s="33"/>
      <c r="D19" s="35" ph="1"/>
      <c r="E19" s="35" ph="1"/>
      <c r="F19" s="35" ph="1"/>
      <c r="G19" s="34" ph="1"/>
      <c r="H19" s="35"/>
      <c r="I19" s="34" ph="1"/>
      <c r="J19" s="35"/>
      <c r="K19" s="34" ph="1"/>
      <c r="L19" s="43"/>
      <c r="M19" s="44" ph="1"/>
      <c r="N19" s="32"/>
      <c r="O19">
        <f t="shared" si="2"/>
        <v>0</v>
      </c>
      <c r="P19">
        <f t="shared" ref="P19:P22" si="8">IF(N19="登録",O19,O19*1)</f>
        <v>0</v>
      </c>
    </row>
    <row r="20" spans="1:16" ht="19.5" hidden="1" customHeight="1">
      <c r="A20" s="31">
        <v>8</v>
      </c>
      <c r="B20" s="14"/>
      <c r="C20" s="33"/>
      <c r="D20" s="35" ph="1"/>
      <c r="E20" s="35" ph="1"/>
      <c r="F20" s="35" ph="1"/>
      <c r="G20" s="35" ph="1"/>
      <c r="H20" s="35" ph="1"/>
      <c r="I20" s="35" ph="1"/>
      <c r="J20" s="35" ph="1"/>
      <c r="K20" s="35" ph="1"/>
      <c r="L20" s="43" ph="1"/>
      <c r="M20" s="43" ph="1"/>
      <c r="N20" s="32"/>
      <c r="O20">
        <f t="shared" si="2"/>
        <v>0</v>
      </c>
      <c r="P20">
        <f t="shared" si="8"/>
        <v>0</v>
      </c>
    </row>
    <row r="21" spans="1:16" ht="19.5" hidden="1" customHeight="1">
      <c r="A21" s="31">
        <v>9</v>
      </c>
      <c r="B21" s="14"/>
      <c r="C21" s="33"/>
      <c r="D21" s="35" ph="1"/>
      <c r="E21" s="35" ph="1"/>
      <c r="F21" s="35" ph="1"/>
      <c r="G21" s="34" ph="1"/>
      <c r="H21" s="35"/>
      <c r="I21" s="34" ph="1"/>
      <c r="J21" s="35"/>
      <c r="K21" s="34" ph="1"/>
      <c r="L21" s="43"/>
      <c r="M21" s="44" ph="1"/>
      <c r="N21" s="32"/>
      <c r="O21">
        <f t="shared" si="2"/>
        <v>0</v>
      </c>
      <c r="P21">
        <f t="shared" si="8"/>
        <v>0</v>
      </c>
    </row>
    <row r="22" spans="1:16" ht="19.5" hidden="1" customHeight="1">
      <c r="A22" s="31">
        <v>10</v>
      </c>
      <c r="B22" s="14"/>
      <c r="C22" s="33"/>
      <c r="D22" s="35" ph="1"/>
      <c r="E22" s="35" ph="1"/>
      <c r="F22" s="35" ph="1"/>
      <c r="G22" s="35" ph="1"/>
      <c r="H22" s="35" ph="1"/>
      <c r="I22" s="35" ph="1"/>
      <c r="J22" s="35" ph="1"/>
      <c r="K22" s="35" ph="1"/>
      <c r="L22" s="43" ph="1"/>
      <c r="M22" s="43" ph="1"/>
      <c r="N22" s="32"/>
      <c r="O22">
        <f t="shared" si="2"/>
        <v>0</v>
      </c>
      <c r="P22">
        <f t="shared" si="8"/>
        <v>0</v>
      </c>
    </row>
    <row r="24" spans="1:16" ht="19.5" customHeight="1" thickBot="1">
      <c r="B24" s="36"/>
      <c r="F24"/>
      <c r="H24" s="4" t="s">
        <v>15</v>
      </c>
      <c r="I24" s="29">
        <f>COUNTA(B10:B10)-COUNTIF(B10:B10,"*　*")</f>
        <v>0</v>
      </c>
    </row>
    <row r="25" spans="1:16" ht="19.5" customHeight="1" thickBot="1">
      <c r="B25" s="36"/>
      <c r="F25"/>
      <c r="H25" s="5" t="s">
        <v>4</v>
      </c>
      <c r="I25" s="6">
        <f>K28</f>
        <v>0</v>
      </c>
      <c r="O25">
        <f>SUM(O10:O24)</f>
        <v>0</v>
      </c>
    </row>
    <row r="26" spans="1:16" ht="19.5" customHeight="1">
      <c r="D26" ph="1"/>
    </row>
    <row r="27" spans="1:16" ht="19.5" customHeight="1">
      <c r="H27" s="45"/>
      <c r="I27" s="45" t="s">
        <v>39</v>
      </c>
      <c r="J27" s="45"/>
      <c r="K27" s="45" t="s">
        <v>40</v>
      </c>
    </row>
    <row r="28" spans="1:16" ht="19.5" customHeight="1">
      <c r="H28" s="45"/>
      <c r="I28" s="45">
        <f>SUM(I30:I37)</f>
        <v>0</v>
      </c>
      <c r="J28" s="45"/>
      <c r="K28" s="46">
        <f>SUM(K30:K37)</f>
        <v>0</v>
      </c>
    </row>
    <row r="29" spans="1:16" ht="19.5" customHeight="1">
      <c r="H29" s="47" t="s">
        <v>41</v>
      </c>
      <c r="I29" s="47" t="s">
        <v>42</v>
      </c>
      <c r="J29" s="47" t="s">
        <v>43</v>
      </c>
      <c r="K29" s="48" t="s">
        <v>44</v>
      </c>
    </row>
    <row r="30" spans="1:16" ht="19.5" customHeight="1">
      <c r="H30" s="45" t="s">
        <v>45</v>
      </c>
      <c r="I30" s="45">
        <f t="shared" ref="I30:I37" si="9">COUNTIF(B:C,H30)</f>
        <v>0</v>
      </c>
      <c r="J30" s="46">
        <v>2000</v>
      </c>
      <c r="K30" s="46">
        <f>I30*J30</f>
        <v>0</v>
      </c>
    </row>
    <row r="31" spans="1:16" ht="19.5" customHeight="1">
      <c r="H31" s="45" t="s">
        <v>46</v>
      </c>
      <c r="I31" s="45">
        <f t="shared" si="9"/>
        <v>0</v>
      </c>
      <c r="J31" s="46">
        <v>2000</v>
      </c>
      <c r="K31" s="46">
        <f>I31*J31</f>
        <v>0</v>
      </c>
    </row>
    <row r="32" spans="1:16" ht="19.5" customHeight="1">
      <c r="H32" s="45" t="s">
        <v>47</v>
      </c>
      <c r="I32" s="45">
        <f t="shared" si="9"/>
        <v>0</v>
      </c>
      <c r="J32" s="46">
        <v>2000</v>
      </c>
      <c r="K32" s="46">
        <f t="shared" ref="K32:K37" si="10">I32*J32</f>
        <v>0</v>
      </c>
    </row>
    <row r="33" spans="8:11" ht="19.5" customHeight="1">
      <c r="H33" s="49" t="s">
        <v>48</v>
      </c>
      <c r="I33" s="45">
        <f t="shared" si="9"/>
        <v>0</v>
      </c>
      <c r="J33" s="46">
        <v>2000</v>
      </c>
      <c r="K33" s="46">
        <f t="shared" si="10"/>
        <v>0</v>
      </c>
    </row>
    <row r="34" spans="8:11" ht="19.5" customHeight="1">
      <c r="H34" s="49" t="s">
        <v>49</v>
      </c>
      <c r="I34" s="45">
        <f t="shared" si="9"/>
        <v>0</v>
      </c>
      <c r="J34" s="46">
        <v>2000</v>
      </c>
      <c r="K34" s="46">
        <f t="shared" si="10"/>
        <v>0</v>
      </c>
    </row>
    <row r="35" spans="8:11" ht="19.5" customHeight="1">
      <c r="H35" s="49" t="s">
        <v>50</v>
      </c>
      <c r="I35" s="45">
        <f t="shared" si="9"/>
        <v>0</v>
      </c>
      <c r="J35" s="46">
        <v>2000</v>
      </c>
      <c r="K35" s="46">
        <f t="shared" si="10"/>
        <v>0</v>
      </c>
    </row>
    <row r="36" spans="8:11" ht="19.5" customHeight="1">
      <c r="H36" s="49" t="s">
        <v>51</v>
      </c>
      <c r="I36" s="45">
        <f t="shared" si="9"/>
        <v>0</v>
      </c>
      <c r="J36" s="46">
        <v>2000</v>
      </c>
      <c r="K36" s="46">
        <f t="shared" si="10"/>
        <v>0</v>
      </c>
    </row>
    <row r="37" spans="8:11" ht="19.5" customHeight="1">
      <c r="H37" s="49" t="s">
        <v>52</v>
      </c>
      <c r="I37" s="45">
        <f t="shared" si="9"/>
        <v>0</v>
      </c>
      <c r="J37" s="46">
        <v>2000</v>
      </c>
      <c r="K37" s="46">
        <f t="shared" si="10"/>
        <v>0</v>
      </c>
    </row>
  </sheetData>
  <sheetProtection sheet="1" selectLockedCells="1"/>
  <dataConsolidate/>
  <mergeCells count="5">
    <mergeCell ref="A1:C1"/>
    <mergeCell ref="A2:C2"/>
    <mergeCell ref="A3:C3"/>
    <mergeCell ref="D1:I1"/>
    <mergeCell ref="D2:I2"/>
  </mergeCells>
  <phoneticPr fontId="1"/>
  <conditionalFormatting sqref="B1:B1048576">
    <cfRule type="containsText" dxfId="5" priority="1" operator="containsText" text="女子">
      <formula>NOT(ISERROR(SEARCH("女子",B1)))</formula>
    </cfRule>
    <cfRule type="containsText" dxfId="4" priority="2" operator="containsText" text="男子">
      <formula>NOT(ISERROR(SEARCH("男子",B1)))</formula>
    </cfRule>
  </conditionalFormatting>
  <conditionalFormatting sqref="H18">
    <cfRule type="colorScale" priority="3">
      <colorScale>
        <cfvo type="min"/>
        <cfvo type="max"/>
        <color theme="2" tint="-0.749992370372631"/>
        <color rgb="FFFFEF9C"/>
      </colorScale>
    </cfRule>
    <cfRule type="expression" priority="4">
      <formula>"""一般""、""高校"""</formula>
    </cfRule>
    <cfRule type="colorScale" priority="5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max"/>
        <color rgb="FFFF7128"/>
        <color rgb="FFFFEF9C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">
    <cfRule type="colorScale" priority="8">
      <colorScale>
        <cfvo type="min"/>
        <cfvo type="max"/>
        <color theme="2" tint="-0.749992370372631"/>
        <color rgb="FFFFEF9C"/>
      </colorScale>
    </cfRule>
    <cfRule type="expression" priority="9">
      <formula>"""一般""、""高校"""</formula>
    </cfRule>
    <cfRule type="colorScale" priority="10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max"/>
        <color rgb="FFFF7128"/>
        <color rgb="FFFFEF9C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">
    <cfRule type="colorScale" priority="13">
      <colorScale>
        <cfvo type="min"/>
        <cfvo type="max"/>
        <color theme="2" tint="-0.749992370372631"/>
        <color rgb="FFFFEF9C"/>
      </colorScale>
    </cfRule>
    <cfRule type="expression" priority="14">
      <formula>"""一般""、""高校"""</formula>
    </cfRule>
    <cfRule type="colorScale" priority="15">
      <colorScale>
        <cfvo type="min"/>
        <cfvo type="max"/>
        <color rgb="FFFF7128"/>
        <color rgb="FFFFEF9C"/>
      </colorScale>
    </cfRule>
    <cfRule type="colorScale" priority="16">
      <colorScale>
        <cfvo type="min"/>
        <cfvo type="max"/>
        <color rgb="FFFF7128"/>
        <color rgb="FFFFEF9C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B5:B22" xr:uid="{0FA546FE-0D16-4C64-9671-FA82E2DCFB30}">
      <formula1>$H$30:$H$37</formula1>
    </dataValidation>
    <dataValidation type="list" showDropDown="1" showInputMessage="1" showErrorMessage="1" sqref="J18 L18 H18" xr:uid="{70592BBF-213E-43A2-A4C7-05B6D4F273F4}">
      <formula1>"12"</formula1>
    </dataValidation>
    <dataValidation type="list" allowBlank="1" showInputMessage="1" showErrorMessage="1" sqref="N5:N22" xr:uid="{CA8CAF33-AA31-4088-A2B3-6B55BD34102A}">
      <formula1>"登録,未登録,　,"</formula1>
    </dataValidation>
  </dataValidations>
  <pageMargins left="0.7" right="0.7" top="0.75" bottom="0.75" header="0.3" footer="0.3"/>
  <pageSetup paperSize="9" scale="83" orientation="landscape" r:id="rId1"/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571D-03BD-4B2A-9070-AACBC60F6271}">
  <sheetPr>
    <tabColor rgb="FFCCFFCC"/>
  </sheetPr>
  <dimension ref="A1:K52"/>
  <sheetViews>
    <sheetView view="pageBreakPreview" zoomScaleNormal="100" zoomScaleSheetLayoutView="100" workbookViewId="0">
      <selection activeCell="F5" sqref="F5"/>
    </sheetView>
  </sheetViews>
  <sheetFormatPr defaultColWidth="11.46484375" defaultRowHeight="19.5" customHeight="1"/>
  <cols>
    <col min="1" max="1" width="5.265625" style="1" customWidth="1"/>
    <col min="2" max="2" width="13.265625" customWidth="1"/>
    <col min="3" max="5" width="21.1328125" customWidth="1"/>
    <col min="6" max="6" width="21.1328125" style="2" customWidth="1"/>
    <col min="7" max="7" width="5.59765625" style="2" customWidth="1"/>
    <col min="8" max="8" width="14.6640625" customWidth="1"/>
    <col min="9" max="10" width="11.46484375" customWidth="1"/>
  </cols>
  <sheetData>
    <row r="1" spans="1:11" s="3" customFormat="1" ht="19.5" customHeight="1">
      <c r="A1" s="82" t="s">
        <v>0</v>
      </c>
      <c r="B1" s="82"/>
      <c r="C1" s="82" t="str">
        <f>団体名等入力!A3</f>
        <v>第32回バタフライダブルスチームカップ年代別・学年別選手権</v>
      </c>
      <c r="D1" s="82"/>
      <c r="E1" s="82"/>
      <c r="F1" s="82"/>
      <c r="G1" s="55"/>
      <c r="H1" s="56"/>
    </row>
    <row r="2" spans="1:11" ht="19.5" customHeight="1">
      <c r="A2" s="82" t="s">
        <v>2</v>
      </c>
      <c r="B2" s="82"/>
      <c r="C2" s="82" t="str">
        <f>IF(団体名等入力!B3="","",団体名等入力!B3)</f>
        <v/>
      </c>
      <c r="D2" s="82"/>
      <c r="E2" s="82"/>
      <c r="F2" s="82"/>
      <c r="G2" s="56"/>
    </row>
    <row r="3" spans="1:11" ht="19.5" customHeight="1">
      <c r="A3" s="57" t="s">
        <v>53</v>
      </c>
      <c r="B3" s="57"/>
      <c r="C3" s="38"/>
      <c r="D3" s="1"/>
      <c r="E3" s="1"/>
    </row>
    <row r="4" spans="1:11" s="2" customFormat="1" ht="33.75" customHeight="1">
      <c r="A4" s="58"/>
      <c r="B4" s="59" t="s">
        <v>34</v>
      </c>
      <c r="C4" s="58" t="s">
        <v>1</v>
      </c>
      <c r="D4" s="58" t="s">
        <v>2</v>
      </c>
      <c r="E4" s="59" t="s">
        <v>61</v>
      </c>
      <c r="F4" s="58" t="s">
        <v>54</v>
      </c>
      <c r="G4" s="60"/>
    </row>
    <row r="5" spans="1:11" ht="19.5" customHeight="1">
      <c r="A5" s="61" t="str">
        <f>IF(B5="","",1)</f>
        <v/>
      </c>
      <c r="B5" s="62"/>
      <c r="C5" s="63"/>
      <c r="D5" s="64"/>
      <c r="E5" s="64"/>
      <c r="F5" s="65"/>
      <c r="G5" s="66"/>
    </row>
    <row r="6" spans="1:11" ht="19.5" customHeight="1">
      <c r="A6" s="61" t="str">
        <f>IF(B6="","",A5+1)</f>
        <v/>
      </c>
      <c r="B6" s="62"/>
      <c r="C6" s="63"/>
      <c r="D6" s="67"/>
      <c r="E6" s="64"/>
      <c r="F6" s="65"/>
      <c r="G6" s="66"/>
      <c r="H6" s="45"/>
      <c r="I6" s="45" t="s">
        <v>39</v>
      </c>
      <c r="J6" s="45"/>
      <c r="K6" s="45" t="s">
        <v>40</v>
      </c>
    </row>
    <row r="7" spans="1:11" ht="19.5" customHeight="1">
      <c r="A7" s="61" t="str">
        <f t="shared" ref="A7:A44" si="0">IF(B7="","",A6+1)</f>
        <v/>
      </c>
      <c r="B7" s="62"/>
      <c r="C7" s="63"/>
      <c r="D7" s="67"/>
      <c r="E7" s="64"/>
      <c r="F7" s="65"/>
      <c r="G7" s="66"/>
      <c r="H7" s="45"/>
      <c r="I7" s="45">
        <f>SUM(I9:I16)</f>
        <v>0</v>
      </c>
      <c r="J7" s="45"/>
      <c r="K7" s="46">
        <f>SUM(K9:K16)</f>
        <v>0</v>
      </c>
    </row>
    <row r="8" spans="1:11" ht="19.5" customHeight="1">
      <c r="A8" s="61" t="str">
        <f t="shared" si="0"/>
        <v/>
      </c>
      <c r="B8" s="62"/>
      <c r="C8" s="63"/>
      <c r="D8" s="67"/>
      <c r="E8" s="64"/>
      <c r="F8" s="65"/>
      <c r="G8" s="66"/>
      <c r="H8" s="47" t="s">
        <v>41</v>
      </c>
      <c r="I8" s="47" t="s">
        <v>42</v>
      </c>
      <c r="J8" s="47" t="s">
        <v>43</v>
      </c>
      <c r="K8" s="48" t="s">
        <v>44</v>
      </c>
    </row>
    <row r="9" spans="1:11" ht="19.5" customHeight="1">
      <c r="A9" s="61" t="str">
        <f t="shared" si="0"/>
        <v/>
      </c>
      <c r="B9" s="62"/>
      <c r="C9" s="63"/>
      <c r="D9" s="67"/>
      <c r="E9" s="64"/>
      <c r="F9" s="65"/>
      <c r="G9" s="66"/>
      <c r="H9" s="45" t="s">
        <v>45</v>
      </c>
      <c r="I9" s="45">
        <f>COUNTIF(A:B,H9)</f>
        <v>0</v>
      </c>
      <c r="J9" s="46">
        <v>700</v>
      </c>
      <c r="K9" s="46">
        <f>I9*J9</f>
        <v>0</v>
      </c>
    </row>
    <row r="10" spans="1:11" ht="19.5" customHeight="1">
      <c r="A10" s="61" t="str">
        <f t="shared" si="0"/>
        <v/>
      </c>
      <c r="B10" s="62"/>
      <c r="C10" s="63"/>
      <c r="D10" s="67"/>
      <c r="E10" s="64"/>
      <c r="F10" s="65"/>
      <c r="G10" s="66"/>
      <c r="H10" s="45" t="s">
        <v>46</v>
      </c>
      <c r="I10" s="45">
        <f>COUNTIF(A:B,H10)</f>
        <v>0</v>
      </c>
      <c r="J10" s="46">
        <v>700</v>
      </c>
      <c r="K10" s="46">
        <f>I10*J10</f>
        <v>0</v>
      </c>
    </row>
    <row r="11" spans="1:11" ht="19.5" customHeight="1">
      <c r="A11" s="61" t="str">
        <f t="shared" si="0"/>
        <v/>
      </c>
      <c r="B11" s="62"/>
      <c r="C11" s="63"/>
      <c r="D11" s="67"/>
      <c r="E11" s="64"/>
      <c r="F11" s="68"/>
      <c r="G11" s="66"/>
      <c r="H11" s="49" t="s">
        <v>55</v>
      </c>
      <c r="I11" s="45">
        <f t="shared" ref="I11:I15" si="1">COUNTIF(A:B,H11)</f>
        <v>0</v>
      </c>
      <c r="J11">
        <v>500</v>
      </c>
      <c r="K11" s="46">
        <f t="shared" ref="K11:K15" si="2">I11*J11</f>
        <v>0</v>
      </c>
    </row>
    <row r="12" spans="1:11" ht="19.5" customHeight="1">
      <c r="A12" s="61" t="str">
        <f t="shared" si="0"/>
        <v/>
      </c>
      <c r="B12" s="62"/>
      <c r="C12" s="63"/>
      <c r="D12" s="67"/>
      <c r="E12" s="64"/>
      <c r="F12" s="68"/>
      <c r="G12" s="66"/>
      <c r="H12" s="49" t="s">
        <v>56</v>
      </c>
      <c r="I12" s="45">
        <f t="shared" si="1"/>
        <v>0</v>
      </c>
      <c r="J12">
        <v>500</v>
      </c>
      <c r="K12" s="46">
        <f t="shared" si="2"/>
        <v>0</v>
      </c>
    </row>
    <row r="13" spans="1:11" ht="19.5" customHeight="1">
      <c r="A13" s="61" t="str">
        <f t="shared" si="0"/>
        <v/>
      </c>
      <c r="B13" s="62"/>
      <c r="C13" s="63"/>
      <c r="D13" s="67"/>
      <c r="E13" s="64"/>
      <c r="F13" s="68"/>
      <c r="G13" s="66"/>
      <c r="H13" s="49" t="s">
        <v>57</v>
      </c>
      <c r="I13" s="45">
        <f t="shared" si="1"/>
        <v>0</v>
      </c>
      <c r="J13">
        <v>500</v>
      </c>
      <c r="K13" s="46">
        <f t="shared" si="2"/>
        <v>0</v>
      </c>
    </row>
    <row r="14" spans="1:11" ht="19.5" customHeight="1">
      <c r="A14" s="61" t="str">
        <f t="shared" si="0"/>
        <v/>
      </c>
      <c r="B14" s="62"/>
      <c r="C14" s="63"/>
      <c r="D14" s="67"/>
      <c r="E14" s="64"/>
      <c r="F14" s="68"/>
      <c r="G14" s="66"/>
      <c r="H14" s="49" t="s">
        <v>58</v>
      </c>
      <c r="I14" s="45">
        <f t="shared" si="1"/>
        <v>0</v>
      </c>
      <c r="J14">
        <v>500</v>
      </c>
      <c r="K14" s="46">
        <f t="shared" si="2"/>
        <v>0</v>
      </c>
    </row>
    <row r="15" spans="1:11" ht="19.5" customHeight="1">
      <c r="A15" s="61" t="str">
        <f t="shared" si="0"/>
        <v/>
      </c>
      <c r="B15" s="62"/>
      <c r="C15" s="63"/>
      <c r="D15" s="67"/>
      <c r="E15" s="64"/>
      <c r="F15" s="68"/>
      <c r="G15" s="66"/>
      <c r="H15" s="49" t="s">
        <v>59</v>
      </c>
      <c r="I15" s="45">
        <f t="shared" si="1"/>
        <v>0</v>
      </c>
      <c r="J15">
        <v>500</v>
      </c>
      <c r="K15" s="46">
        <f t="shared" si="2"/>
        <v>0</v>
      </c>
    </row>
    <row r="16" spans="1:11" ht="19.5" customHeight="1">
      <c r="A16" s="61" t="str">
        <f t="shared" si="0"/>
        <v/>
      </c>
      <c r="B16" s="62"/>
      <c r="C16" s="63"/>
      <c r="D16" s="67"/>
      <c r="E16" s="64"/>
      <c r="F16" s="68"/>
      <c r="G16" s="66"/>
      <c r="H16" s="49" t="s">
        <v>60</v>
      </c>
      <c r="I16" s="45">
        <f>COUNTIF(A:B,H16)</f>
        <v>0</v>
      </c>
      <c r="J16">
        <v>500</v>
      </c>
      <c r="K16" s="46">
        <f>I16*J16</f>
        <v>0</v>
      </c>
    </row>
    <row r="17" spans="1:8" ht="19.5" customHeight="1">
      <c r="A17" s="61" t="str">
        <f t="shared" si="0"/>
        <v/>
      </c>
      <c r="B17" s="62"/>
      <c r="C17" s="63"/>
      <c r="D17" s="67"/>
      <c r="E17" s="64"/>
      <c r="F17" s="68"/>
      <c r="G17" s="66"/>
      <c r="H17" s="45"/>
    </row>
    <row r="18" spans="1:8" ht="19.5" customHeight="1">
      <c r="A18" s="61" t="str">
        <f t="shared" si="0"/>
        <v/>
      </c>
      <c r="B18" s="62"/>
      <c r="C18" s="63"/>
      <c r="D18" s="67"/>
      <c r="E18" s="64"/>
      <c r="F18" s="68"/>
      <c r="G18" s="66"/>
      <c r="H18" s="45"/>
    </row>
    <row r="19" spans="1:8" ht="19.5" customHeight="1">
      <c r="A19" s="61" t="str">
        <f t="shared" si="0"/>
        <v/>
      </c>
      <c r="B19" s="62"/>
      <c r="C19" s="63"/>
      <c r="D19" s="67"/>
      <c r="E19" s="64"/>
      <c r="F19" s="68"/>
      <c r="G19" s="66"/>
      <c r="H19" s="45"/>
    </row>
    <row r="20" spans="1:8" ht="19.5" customHeight="1">
      <c r="A20" s="61" t="str">
        <f t="shared" si="0"/>
        <v/>
      </c>
      <c r="B20" s="62"/>
      <c r="C20" s="63"/>
      <c r="D20" s="67"/>
      <c r="E20" s="64"/>
      <c r="F20" s="68"/>
      <c r="G20" s="66"/>
      <c r="H20" s="45"/>
    </row>
    <row r="21" spans="1:8" ht="19.5" customHeight="1">
      <c r="A21" s="61" t="str">
        <f t="shared" si="0"/>
        <v/>
      </c>
      <c r="B21" s="62"/>
      <c r="C21" s="63"/>
      <c r="D21" s="67"/>
      <c r="E21" s="64"/>
      <c r="F21" s="68"/>
      <c r="G21" s="66"/>
      <c r="H21" s="45"/>
    </row>
    <row r="22" spans="1:8" ht="19.5" customHeight="1">
      <c r="A22" s="61" t="str">
        <f t="shared" si="0"/>
        <v/>
      </c>
      <c r="B22" s="62"/>
      <c r="C22" s="63"/>
      <c r="D22" s="67"/>
      <c r="E22" s="64"/>
      <c r="F22" s="68"/>
      <c r="G22" s="66"/>
      <c r="H22" s="45"/>
    </row>
    <row r="23" spans="1:8" ht="19.5" customHeight="1">
      <c r="A23" s="61" t="str">
        <f t="shared" si="0"/>
        <v/>
      </c>
      <c r="B23" s="62"/>
      <c r="C23" s="63"/>
      <c r="D23" s="67"/>
      <c r="E23" s="64"/>
      <c r="F23" s="68"/>
      <c r="G23" s="66"/>
      <c r="H23" s="45"/>
    </row>
    <row r="24" spans="1:8" ht="19.5" customHeight="1">
      <c r="A24" s="61" t="str">
        <f t="shared" si="0"/>
        <v/>
      </c>
      <c r="B24" s="62"/>
      <c r="C24" s="63"/>
      <c r="D24" s="67"/>
      <c r="E24" s="64"/>
      <c r="F24" s="68"/>
      <c r="G24" s="66"/>
      <c r="H24" s="45"/>
    </row>
    <row r="25" spans="1:8" ht="19.5" customHeight="1">
      <c r="A25" s="61" t="str">
        <f t="shared" si="0"/>
        <v/>
      </c>
      <c r="B25" s="62"/>
      <c r="C25" s="69"/>
      <c r="D25" s="69"/>
      <c r="E25" s="64"/>
      <c r="F25" s="68"/>
      <c r="G25" s="66"/>
      <c r="H25" s="45"/>
    </row>
    <row r="26" spans="1:8" ht="19.5" customHeight="1">
      <c r="A26" s="61" t="str">
        <f t="shared" si="0"/>
        <v/>
      </c>
      <c r="B26" s="62"/>
      <c r="C26" s="69"/>
      <c r="D26" s="70"/>
      <c r="E26" s="64"/>
      <c r="F26" s="68"/>
      <c r="G26" s="66"/>
      <c r="H26" s="45"/>
    </row>
    <row r="27" spans="1:8" ht="19.5" customHeight="1">
      <c r="A27" s="61" t="str">
        <f t="shared" si="0"/>
        <v/>
      </c>
      <c r="B27" s="62"/>
      <c r="C27" s="69"/>
      <c r="D27" s="69"/>
      <c r="E27" s="64"/>
      <c r="F27" s="68"/>
      <c r="G27" s="66"/>
      <c r="H27" s="45"/>
    </row>
    <row r="28" spans="1:8" ht="19.5" customHeight="1">
      <c r="A28" s="61" t="str">
        <f t="shared" si="0"/>
        <v/>
      </c>
      <c r="B28" s="62"/>
      <c r="C28" s="69"/>
      <c r="D28" s="69"/>
      <c r="E28" s="64"/>
      <c r="F28" s="68"/>
      <c r="G28" s="66"/>
      <c r="H28" s="45"/>
    </row>
    <row r="29" spans="1:8" ht="19.5" customHeight="1">
      <c r="A29" s="61" t="str">
        <f t="shared" si="0"/>
        <v/>
      </c>
      <c r="B29" s="62"/>
      <c r="C29" s="69"/>
      <c r="D29" s="69"/>
      <c r="E29" s="64"/>
      <c r="F29" s="68"/>
      <c r="G29" s="66"/>
      <c r="H29" s="45"/>
    </row>
    <row r="30" spans="1:8" ht="19.5" customHeight="1">
      <c r="A30" s="61" t="str">
        <f t="shared" si="0"/>
        <v/>
      </c>
      <c r="B30" s="62"/>
      <c r="C30" s="69"/>
      <c r="D30" s="69"/>
      <c r="E30" s="64"/>
      <c r="F30" s="68"/>
      <c r="G30" s="66"/>
      <c r="H30" s="45"/>
    </row>
    <row r="31" spans="1:8" ht="19.5" customHeight="1">
      <c r="A31" s="61" t="str">
        <f t="shared" si="0"/>
        <v/>
      </c>
      <c r="B31" s="62"/>
      <c r="C31" s="69"/>
      <c r="D31" s="69"/>
      <c r="E31" s="64"/>
      <c r="F31" s="68"/>
      <c r="G31" s="66"/>
      <c r="H31" s="45"/>
    </row>
    <row r="32" spans="1:8" ht="19.5" customHeight="1">
      <c r="A32" s="61" t="str">
        <f t="shared" si="0"/>
        <v/>
      </c>
      <c r="B32" s="62"/>
      <c r="C32" s="69"/>
      <c r="D32" s="69"/>
      <c r="E32" s="64"/>
      <c r="F32" s="68"/>
      <c r="G32" s="66"/>
      <c r="H32" s="45"/>
    </row>
    <row r="33" spans="1:8" ht="19.5" customHeight="1">
      <c r="A33" s="61" t="str">
        <f t="shared" si="0"/>
        <v/>
      </c>
      <c r="B33" s="62"/>
      <c r="C33" s="69"/>
      <c r="D33" s="69"/>
      <c r="E33" s="64"/>
      <c r="F33" s="68"/>
      <c r="G33" s="66"/>
      <c r="H33" s="45"/>
    </row>
    <row r="34" spans="1:8" ht="19.5" customHeight="1">
      <c r="A34" s="61" t="str">
        <f t="shared" si="0"/>
        <v/>
      </c>
      <c r="B34" s="62"/>
      <c r="C34" s="69"/>
      <c r="D34" s="69"/>
      <c r="E34" s="64"/>
      <c r="F34" s="68"/>
      <c r="G34" s="66"/>
      <c r="H34" s="45"/>
    </row>
    <row r="35" spans="1:8" ht="19.5" customHeight="1">
      <c r="A35" s="61" t="str">
        <f t="shared" si="0"/>
        <v/>
      </c>
      <c r="B35" s="62"/>
      <c r="C35" s="69"/>
      <c r="D35" s="69"/>
      <c r="E35" s="64"/>
      <c r="F35" s="68"/>
      <c r="G35" s="66"/>
      <c r="H35" s="45"/>
    </row>
    <row r="36" spans="1:8" ht="19.5" customHeight="1">
      <c r="A36" s="61" t="str">
        <f t="shared" si="0"/>
        <v/>
      </c>
      <c r="B36" s="62"/>
      <c r="C36" s="69"/>
      <c r="D36" s="69"/>
      <c r="E36" s="64"/>
      <c r="F36" s="68"/>
      <c r="G36" s="66"/>
      <c r="H36" s="45"/>
    </row>
    <row r="37" spans="1:8" ht="19.5" customHeight="1">
      <c r="A37" s="61" t="str">
        <f t="shared" si="0"/>
        <v/>
      </c>
      <c r="B37" s="62"/>
      <c r="C37" s="69"/>
      <c r="D37" s="69"/>
      <c r="E37" s="64"/>
      <c r="F37" s="68"/>
      <c r="G37" s="66"/>
      <c r="H37" s="45"/>
    </row>
    <row r="38" spans="1:8" ht="19.5" customHeight="1">
      <c r="A38" s="61" t="str">
        <f t="shared" si="0"/>
        <v/>
      </c>
      <c r="B38" s="62"/>
      <c r="C38" s="69"/>
      <c r="D38" s="69"/>
      <c r="E38" s="64"/>
      <c r="F38" s="68"/>
      <c r="G38" s="66"/>
      <c r="H38" s="45"/>
    </row>
    <row r="39" spans="1:8" ht="19.5" customHeight="1">
      <c r="A39" s="61" t="str">
        <f t="shared" si="0"/>
        <v/>
      </c>
      <c r="B39" s="62"/>
      <c r="C39" s="69"/>
      <c r="D39" s="69"/>
      <c r="E39" s="64"/>
      <c r="F39" s="68"/>
      <c r="G39" s="66"/>
      <c r="H39" s="45"/>
    </row>
    <row r="40" spans="1:8" ht="19.5" customHeight="1">
      <c r="A40" s="61" t="str">
        <f t="shared" si="0"/>
        <v/>
      </c>
      <c r="B40" s="62"/>
      <c r="C40" s="69"/>
      <c r="D40" s="69"/>
      <c r="E40" s="64"/>
      <c r="F40" s="68"/>
      <c r="G40" s="66"/>
      <c r="H40" s="45"/>
    </row>
    <row r="41" spans="1:8" ht="19.5" customHeight="1">
      <c r="A41" s="61" t="str">
        <f t="shared" si="0"/>
        <v/>
      </c>
      <c r="B41" s="62"/>
      <c r="C41" s="69"/>
      <c r="D41" s="69"/>
      <c r="E41" s="64"/>
      <c r="F41" s="68"/>
      <c r="G41" s="66"/>
      <c r="H41" s="45"/>
    </row>
    <row r="42" spans="1:8" ht="19.5" customHeight="1">
      <c r="A42" s="61" t="str">
        <f t="shared" si="0"/>
        <v/>
      </c>
      <c r="B42" s="62"/>
      <c r="C42" s="69"/>
      <c r="D42" s="69"/>
      <c r="E42" s="64"/>
      <c r="F42" s="68"/>
      <c r="G42" s="66"/>
      <c r="H42" s="45"/>
    </row>
    <row r="43" spans="1:8" ht="19.5" customHeight="1">
      <c r="A43" s="61" t="str">
        <f t="shared" si="0"/>
        <v/>
      </c>
      <c r="B43" s="62"/>
      <c r="C43" s="69"/>
      <c r="D43" s="69"/>
      <c r="E43" s="64"/>
      <c r="F43" s="68"/>
      <c r="G43" s="66"/>
      <c r="H43" s="45"/>
    </row>
    <row r="44" spans="1:8" ht="19.5" customHeight="1">
      <c r="A44" s="61" t="str">
        <f t="shared" si="0"/>
        <v/>
      </c>
      <c r="B44" s="62"/>
      <c r="C44" s="69"/>
      <c r="D44" s="69"/>
      <c r="E44" s="64"/>
      <c r="F44" s="68"/>
      <c r="G44" s="66"/>
    </row>
    <row r="45" spans="1:8" ht="19.5" customHeight="1" thickBot="1"/>
    <row r="46" spans="1:8" ht="19.5" customHeight="1" thickBot="1">
      <c r="B46" s="71" t="s">
        <v>5</v>
      </c>
      <c r="C46" s="72">
        <f>I7</f>
        <v>0</v>
      </c>
    </row>
    <row r="47" spans="1:8" ht="19.5" customHeight="1" thickBot="1">
      <c r="B47" s="73" t="s">
        <v>4</v>
      </c>
      <c r="C47" s="74">
        <f>K7</f>
        <v>0</v>
      </c>
    </row>
    <row r="49" spans="1:7" ht="14.25" customHeight="1">
      <c r="A49" s="39" t="s">
        <v>27</v>
      </c>
      <c r="F49" s="36"/>
      <c r="G49"/>
    </row>
    <row r="50" spans="1:7" ht="14.25" customHeight="1">
      <c r="A50" s="39" t="s">
        <v>28</v>
      </c>
      <c r="F50" s="36"/>
      <c r="G50"/>
    </row>
    <row r="51" spans="1:7" ht="14.25" customHeight="1">
      <c r="A51" s="39" t="s">
        <v>31</v>
      </c>
      <c r="G51"/>
    </row>
    <row r="52" spans="1:7" ht="14.25" customHeight="1">
      <c r="A52" s="39" t="s">
        <v>29</v>
      </c>
      <c r="G52"/>
    </row>
  </sheetData>
  <sheetProtection selectLockedCells="1"/>
  <mergeCells count="4">
    <mergeCell ref="A1:B1"/>
    <mergeCell ref="C1:F1"/>
    <mergeCell ref="A2:B2"/>
    <mergeCell ref="C2:F2"/>
  </mergeCells>
  <phoneticPr fontId="1"/>
  <conditionalFormatting sqref="B4:B44">
    <cfRule type="containsText" dxfId="3" priority="1" operator="containsText" text="女子">
      <formula>NOT(ISERROR(SEARCH("女子",B4)))</formula>
    </cfRule>
    <cfRule type="containsText" dxfId="2" priority="2" operator="containsText" text="男子">
      <formula>NOT(ISERROR(SEARCH("男子",B4)))</formula>
    </cfRule>
  </conditionalFormatting>
  <conditionalFormatting sqref="B5:B44">
    <cfRule type="notContainsBlanks" dxfId="1" priority="3">
      <formula>LEN(TRIM(B5))&gt;0</formula>
    </cfRule>
  </conditionalFormatting>
  <conditionalFormatting sqref="C5:G5 F6:G18 F20:G44 C6:E44">
    <cfRule type="notContainsBlanks" dxfId="0" priority="4">
      <formula>LEN(TRIM(C5))&gt;0</formula>
    </cfRule>
  </conditionalFormatting>
  <dataValidations count="2">
    <dataValidation type="list" allowBlank="1" showInputMessage="1" showErrorMessage="1" sqref="B5:B44" xr:uid="{7D42E681-23B8-4A86-A22F-53804311E29F}">
      <formula1>$H$9:$H$16</formula1>
    </dataValidation>
    <dataValidation type="list" allowBlank="1" showInputMessage="1" showErrorMessage="1" sqref="E5:E44" xr:uid="{5EAE53D7-3849-46C5-B55F-906EFDCFA358}">
      <formula1>"小学生以下,中学１年,中学２年,高校１年,高校２年,30歳未満（小6・中3・高3・管外希望中学生含む）,,３０歳代,４０歳代,５０歳代,６０歳代,７０歳代,８０歳代,９０歳代,　,"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D9"/>
  <sheetViews>
    <sheetView view="pageBreakPreview" zoomScale="115" zoomScaleNormal="100" zoomScaleSheetLayoutView="115" workbookViewId="0">
      <selection activeCell="D4" sqref="D4"/>
    </sheetView>
  </sheetViews>
  <sheetFormatPr defaultRowHeight="40.5" customHeight="1"/>
  <cols>
    <col min="1" max="1" width="20.73046875" customWidth="1"/>
    <col min="2" max="2" width="14.3984375" customWidth="1"/>
    <col min="3" max="3" width="37.59765625" customWidth="1"/>
    <col min="4" max="4" width="12.265625" customWidth="1"/>
  </cols>
  <sheetData>
    <row r="1" spans="1:4" ht="40.5" customHeight="1">
      <c r="A1" s="85" t="s">
        <v>20</v>
      </c>
      <c r="B1" s="85"/>
      <c r="C1" s="85"/>
      <c r="D1" s="85"/>
    </row>
    <row r="2" spans="1:4" ht="40.5" customHeight="1">
      <c r="A2" s="85"/>
      <c r="B2" s="85"/>
      <c r="C2" s="85"/>
      <c r="D2" s="85"/>
    </row>
    <row r="4" spans="1:4" ht="40.5" customHeight="1">
      <c r="A4" s="86" t="str">
        <f>IF(団体名等入力!B3=0,"",団体名等入力!B3)</f>
        <v/>
      </c>
      <c r="B4" s="86"/>
      <c r="C4" s="18">
        <f>男女団体!I25+男女シングルス!C47</f>
        <v>0</v>
      </c>
      <c r="D4" s="12"/>
    </row>
    <row r="5" spans="1:4" ht="14.25" customHeight="1">
      <c r="A5" s="16"/>
      <c r="B5" s="16"/>
      <c r="C5" s="17"/>
      <c r="D5" s="12"/>
    </row>
    <row r="6" spans="1:4" ht="40.5" customHeight="1">
      <c r="A6" s="84" t="s">
        <v>19</v>
      </c>
      <c r="B6" s="84"/>
      <c r="C6" s="40" t="str">
        <f>団体名等入力!A3</f>
        <v>第32回バタフライダブルスチームカップ年代別・学年別選手権</v>
      </c>
      <c r="D6" s="13" t="s">
        <v>18</v>
      </c>
    </row>
    <row r="7" spans="1:4" ht="40.5" customHeight="1">
      <c r="A7" s="12"/>
      <c r="B7" s="13"/>
      <c r="C7" s="13"/>
      <c r="D7" s="13"/>
    </row>
    <row r="8" spans="1:4" ht="40.5" customHeight="1">
      <c r="A8" s="87">
        <v>46101</v>
      </c>
      <c r="B8" s="87"/>
      <c r="C8" s="83" t="s">
        <v>17</v>
      </c>
      <c r="D8" s="83"/>
    </row>
    <row r="9" spans="1:4" ht="40.5" customHeight="1">
      <c r="A9" s="10"/>
      <c r="B9" s="11"/>
      <c r="C9" s="83" t="s">
        <v>33</v>
      </c>
      <c r="D9" s="83"/>
    </row>
  </sheetData>
  <sheetProtection sheet="1" selectLockedCells="1"/>
  <mergeCells count="6">
    <mergeCell ref="C9:D9"/>
    <mergeCell ref="A6:B6"/>
    <mergeCell ref="A1:D2"/>
    <mergeCell ref="A4:B4"/>
    <mergeCell ref="A8:B8"/>
    <mergeCell ref="C8:D8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O27"/>
  <sheetViews>
    <sheetView zoomScaleNormal="100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9" bestFit="1" customWidth="1"/>
    <col min="3" max="3" width="18.73046875" customWidth="1"/>
    <col min="4" max="4" width="6.46484375" customWidth="1"/>
    <col min="5" max="5" width="18.73046875" customWidth="1"/>
    <col min="6" max="6" width="7.59765625" customWidth="1"/>
    <col min="7" max="8" width="19.86328125" customWidth="1"/>
    <col min="9" max="10" width="9.265625" style="2" customWidth="1"/>
    <col min="12" max="13" width="4.46484375" hidden="1" customWidth="1"/>
    <col min="14" max="15" width="11.46484375" hidden="1" customWidth="1"/>
  </cols>
  <sheetData>
    <row r="1" spans="1:15" s="3" customFormat="1" ht="19.5" customHeight="1">
      <c r="A1" s="88" t="s">
        <v>0</v>
      </c>
      <c r="B1" s="88"/>
      <c r="C1" s="88" t="str">
        <f>団体名等入力!A3</f>
        <v>第32回バタフライダブルスチームカップ年代別・学年別選手権</v>
      </c>
      <c r="D1" s="88"/>
      <c r="E1" s="88"/>
      <c r="F1" s="88"/>
    </row>
    <row r="2" spans="1:15" ht="19.5" customHeight="1">
      <c r="A2" s="88" t="s">
        <v>3</v>
      </c>
      <c r="B2" s="88"/>
      <c r="C2" s="88">
        <f>団体名等入力!B3</f>
        <v>0</v>
      </c>
      <c r="D2" s="88"/>
      <c r="E2" s="88"/>
      <c r="F2" s="88"/>
      <c r="G2" s="3"/>
      <c r="H2" s="3"/>
      <c r="I2" s="3"/>
      <c r="J2" s="3"/>
    </row>
    <row r="3" spans="1:15" ht="19.5" customHeight="1">
      <c r="A3" s="2"/>
      <c r="B3" s="2"/>
      <c r="C3" s="1"/>
      <c r="D3" s="1"/>
      <c r="E3" s="1"/>
      <c r="F3" s="1"/>
      <c r="G3" s="1"/>
      <c r="H3" s="1"/>
    </row>
    <row r="4" spans="1:15" s="2" customFormat="1" ht="32.25" customHeight="1">
      <c r="A4" s="21"/>
      <c r="B4" s="21" t="s">
        <v>22</v>
      </c>
      <c r="C4" s="22" t="s">
        <v>6</v>
      </c>
      <c r="D4" s="23"/>
      <c r="E4" s="22" t="s">
        <v>7</v>
      </c>
      <c r="F4" s="23"/>
      <c r="G4" s="21" t="s">
        <v>8</v>
      </c>
      <c r="H4" s="21" t="s">
        <v>9</v>
      </c>
      <c r="I4" s="24" t="s">
        <v>23</v>
      </c>
      <c r="J4" s="24" t="s">
        <v>24</v>
      </c>
      <c r="K4" s="21" t="s">
        <v>16</v>
      </c>
    </row>
    <row r="5" spans="1:15" ht="19.5" customHeight="1">
      <c r="A5" s="25">
        <v>1</v>
      </c>
      <c r="B5" s="19" t="s">
        <v>21</v>
      </c>
      <c r="C5" s="20" ph="1"/>
      <c r="D5" s="19"/>
      <c r="E5" s="20" ph="1"/>
      <c r="F5" s="19"/>
      <c r="G5" s="19"/>
      <c r="H5" s="19"/>
      <c r="I5" s="19"/>
      <c r="J5" s="19"/>
      <c r="K5" s="19"/>
      <c r="L5">
        <f>IF(OR(D5="一般",D5="大学"),600,IF(OR(D5="高校",D5="中学",D5="小学"),400,0))</f>
        <v>0</v>
      </c>
      <c r="M5">
        <f>IF(OR(F5="一般",F5="大学"),600,IF(OR(F5="高校",F5="中学",F5="小学"),400,0))</f>
        <v>0</v>
      </c>
      <c r="N5">
        <f>SUM(L5:M5)</f>
        <v>0</v>
      </c>
      <c r="O5">
        <f>IF(K5="登録",N5,N5*2)</f>
        <v>0</v>
      </c>
    </row>
    <row r="6" spans="1:15" ht="19.5" customHeight="1">
      <c r="A6" s="25">
        <v>2</v>
      </c>
      <c r="B6" s="19"/>
      <c r="C6" s="20" ph="1"/>
      <c r="D6" s="19"/>
      <c r="E6" s="20" ph="1"/>
      <c r="F6" s="19"/>
      <c r="G6" s="19"/>
      <c r="H6" s="19"/>
      <c r="I6" s="19"/>
      <c r="J6" s="19"/>
      <c r="K6" s="19"/>
      <c r="L6">
        <f t="shared" ref="L6:L24" si="0">IF(OR(D6="一般",D6="大学"),600,IF(OR(D6="高校",D6="中学",D6="小学"),400,0))</f>
        <v>0</v>
      </c>
      <c r="M6">
        <f t="shared" ref="M6:M24" si="1">IF(OR(F6="一般",F6="大学"),600,IF(OR(F6="高校",F6="中学",F6="小学"),400,0))</f>
        <v>0</v>
      </c>
      <c r="N6">
        <f t="shared" ref="N6:N24" si="2">SUM(L6:M6)</f>
        <v>0</v>
      </c>
      <c r="O6">
        <f t="shared" ref="O6:O24" si="3">IF(K6="登録",N6,N6*2)</f>
        <v>0</v>
      </c>
    </row>
    <row r="7" spans="1:15" ht="19.5" customHeight="1">
      <c r="A7" s="25">
        <v>3</v>
      </c>
      <c r="B7" s="19"/>
      <c r="C7" s="20" ph="1"/>
      <c r="D7" s="19"/>
      <c r="E7" s="20" ph="1"/>
      <c r="F7" s="19"/>
      <c r="G7" s="19"/>
      <c r="H7" s="19"/>
      <c r="I7" s="19"/>
      <c r="J7" s="19"/>
      <c r="K7" s="19"/>
      <c r="L7">
        <f t="shared" si="0"/>
        <v>0</v>
      </c>
      <c r="M7">
        <f t="shared" si="1"/>
        <v>0</v>
      </c>
      <c r="N7">
        <f t="shared" si="2"/>
        <v>0</v>
      </c>
      <c r="O7">
        <f t="shared" si="3"/>
        <v>0</v>
      </c>
    </row>
    <row r="8" spans="1:15" ht="19.5" customHeight="1">
      <c r="A8" s="25">
        <v>4</v>
      </c>
      <c r="B8" s="19"/>
      <c r="C8" s="20" ph="1"/>
      <c r="D8" s="19"/>
      <c r="E8" s="20" ph="1"/>
      <c r="F8" s="19"/>
      <c r="G8" s="19"/>
      <c r="H8" s="19"/>
      <c r="I8" s="19"/>
      <c r="J8" s="19"/>
      <c r="K8" s="19"/>
      <c r="L8">
        <f t="shared" si="0"/>
        <v>0</v>
      </c>
      <c r="M8">
        <f t="shared" si="1"/>
        <v>0</v>
      </c>
      <c r="N8">
        <f t="shared" si="2"/>
        <v>0</v>
      </c>
      <c r="O8">
        <f t="shared" si="3"/>
        <v>0</v>
      </c>
    </row>
    <row r="9" spans="1:15" ht="19.5" customHeight="1">
      <c r="A9" s="25">
        <v>5</v>
      </c>
      <c r="B9" s="19"/>
      <c r="C9" s="20" ph="1"/>
      <c r="D9" s="19"/>
      <c r="E9" s="20" ph="1"/>
      <c r="F9" s="19"/>
      <c r="G9" s="19"/>
      <c r="H9" s="19"/>
      <c r="I9" s="19"/>
      <c r="J9" s="19"/>
      <c r="K9" s="19"/>
      <c r="L9">
        <f t="shared" si="0"/>
        <v>0</v>
      </c>
      <c r="M9">
        <f t="shared" si="1"/>
        <v>0</v>
      </c>
      <c r="N9">
        <f t="shared" si="2"/>
        <v>0</v>
      </c>
      <c r="O9">
        <f t="shared" si="3"/>
        <v>0</v>
      </c>
    </row>
    <row r="10" spans="1:15" ht="19.5" customHeight="1">
      <c r="A10" s="25">
        <v>6</v>
      </c>
      <c r="B10" s="19"/>
      <c r="C10" s="26" ph="1"/>
      <c r="D10" s="19"/>
      <c r="E10" s="26" ph="1"/>
      <c r="F10" s="19"/>
      <c r="G10" s="27"/>
      <c r="H10" s="27"/>
      <c r="I10" s="19"/>
      <c r="J10" s="19"/>
      <c r="K10" s="19"/>
      <c r="L10">
        <f t="shared" si="0"/>
        <v>0</v>
      </c>
      <c r="M10">
        <f t="shared" si="1"/>
        <v>0</v>
      </c>
      <c r="N10">
        <f t="shared" si="2"/>
        <v>0</v>
      </c>
      <c r="O10">
        <f t="shared" si="3"/>
        <v>0</v>
      </c>
    </row>
    <row r="11" spans="1:15" ht="19.5" customHeight="1">
      <c r="A11" s="25">
        <v>7</v>
      </c>
      <c r="B11" s="19"/>
      <c r="C11" s="26" ph="1"/>
      <c r="D11" s="19"/>
      <c r="E11" s="26" ph="1"/>
      <c r="F11" s="19"/>
      <c r="G11" s="27"/>
      <c r="H11" s="27"/>
      <c r="I11" s="19"/>
      <c r="J11" s="19"/>
      <c r="K11" s="19"/>
      <c r="L11">
        <f t="shared" si="0"/>
        <v>0</v>
      </c>
      <c r="M11">
        <f t="shared" si="1"/>
        <v>0</v>
      </c>
      <c r="N11">
        <f t="shared" si="2"/>
        <v>0</v>
      </c>
      <c r="O11">
        <f t="shared" si="3"/>
        <v>0</v>
      </c>
    </row>
    <row r="12" spans="1:15" ht="19.5" customHeight="1">
      <c r="A12" s="25">
        <v>8</v>
      </c>
      <c r="B12" s="19"/>
      <c r="C12" s="26" ph="1"/>
      <c r="D12" s="19"/>
      <c r="E12" s="26" ph="1"/>
      <c r="F12" s="19"/>
      <c r="G12" s="27"/>
      <c r="H12" s="27"/>
      <c r="I12" s="19"/>
      <c r="J12" s="19"/>
      <c r="K12" s="19"/>
      <c r="L12">
        <f t="shared" si="0"/>
        <v>0</v>
      </c>
      <c r="M12">
        <f t="shared" si="1"/>
        <v>0</v>
      </c>
      <c r="N12">
        <f t="shared" si="2"/>
        <v>0</v>
      </c>
      <c r="O12">
        <f t="shared" si="3"/>
        <v>0</v>
      </c>
    </row>
    <row r="13" spans="1:15" ht="19.5" customHeight="1">
      <c r="A13" s="25">
        <v>9</v>
      </c>
      <c r="B13" s="19"/>
      <c r="C13" s="26" ph="1"/>
      <c r="D13" s="19"/>
      <c r="E13" s="26" ph="1"/>
      <c r="F13" s="19"/>
      <c r="G13" s="27"/>
      <c r="H13" s="27"/>
      <c r="I13" s="19"/>
      <c r="J13" s="19"/>
      <c r="K13" s="19"/>
      <c r="L13">
        <f t="shared" si="0"/>
        <v>0</v>
      </c>
      <c r="M13">
        <f t="shared" si="1"/>
        <v>0</v>
      </c>
      <c r="N13">
        <f t="shared" si="2"/>
        <v>0</v>
      </c>
      <c r="O13">
        <f t="shared" si="3"/>
        <v>0</v>
      </c>
    </row>
    <row r="14" spans="1:15" ht="19.5" customHeight="1">
      <c r="A14" s="25">
        <v>10</v>
      </c>
      <c r="B14" s="19"/>
      <c r="C14" s="26" ph="1"/>
      <c r="D14" s="19"/>
      <c r="E14" s="26" ph="1"/>
      <c r="F14" s="19"/>
      <c r="G14" s="27"/>
      <c r="H14" s="27"/>
      <c r="I14" s="19"/>
      <c r="J14" s="19"/>
      <c r="K14" s="19"/>
      <c r="L14">
        <f t="shared" si="0"/>
        <v>0</v>
      </c>
      <c r="M14">
        <f t="shared" si="1"/>
        <v>0</v>
      </c>
      <c r="N14">
        <f t="shared" si="2"/>
        <v>0</v>
      </c>
      <c r="O14">
        <f t="shared" si="3"/>
        <v>0</v>
      </c>
    </row>
    <row r="15" spans="1:15" ht="19.5" customHeight="1">
      <c r="A15" s="25">
        <v>11</v>
      </c>
      <c r="B15" s="19"/>
      <c r="C15" s="26" ph="1"/>
      <c r="D15" s="19"/>
      <c r="E15" s="26" ph="1"/>
      <c r="F15" s="19"/>
      <c r="G15" s="27"/>
      <c r="H15" s="27"/>
      <c r="I15" s="19"/>
      <c r="J15" s="19"/>
      <c r="K15" s="19"/>
      <c r="L15">
        <f t="shared" si="0"/>
        <v>0</v>
      </c>
      <c r="M15">
        <f t="shared" si="1"/>
        <v>0</v>
      </c>
      <c r="N15">
        <f t="shared" si="2"/>
        <v>0</v>
      </c>
      <c r="O15">
        <f t="shared" si="3"/>
        <v>0</v>
      </c>
    </row>
    <row r="16" spans="1:15" ht="19.5" customHeight="1">
      <c r="A16" s="25">
        <v>12</v>
      </c>
      <c r="B16" s="19"/>
      <c r="C16" s="26" ph="1"/>
      <c r="D16" s="19"/>
      <c r="E16" s="26" ph="1"/>
      <c r="F16" s="19"/>
      <c r="G16" s="27"/>
      <c r="H16" s="27"/>
      <c r="I16" s="19"/>
      <c r="J16" s="19"/>
      <c r="K16" s="19"/>
      <c r="L16">
        <f t="shared" si="0"/>
        <v>0</v>
      </c>
      <c r="M16">
        <f t="shared" si="1"/>
        <v>0</v>
      </c>
      <c r="N16">
        <f t="shared" si="2"/>
        <v>0</v>
      </c>
      <c r="O16">
        <f t="shared" si="3"/>
        <v>0</v>
      </c>
    </row>
    <row r="17" spans="1:15" ht="19.5" customHeight="1">
      <c r="A17" s="25">
        <v>13</v>
      </c>
      <c r="B17" s="19"/>
      <c r="C17" s="26" ph="1"/>
      <c r="D17" s="19"/>
      <c r="E17" s="26" ph="1"/>
      <c r="F17" s="19"/>
      <c r="G17" s="27"/>
      <c r="H17" s="27"/>
      <c r="I17" s="19"/>
      <c r="J17" s="19"/>
      <c r="K17" s="19"/>
      <c r="L17">
        <f t="shared" si="0"/>
        <v>0</v>
      </c>
      <c r="M17">
        <f t="shared" si="1"/>
        <v>0</v>
      </c>
      <c r="N17">
        <f t="shared" si="2"/>
        <v>0</v>
      </c>
      <c r="O17">
        <f t="shared" si="3"/>
        <v>0</v>
      </c>
    </row>
    <row r="18" spans="1:15" ht="19.5" customHeight="1">
      <c r="A18" s="25">
        <v>14</v>
      </c>
      <c r="B18" s="19"/>
      <c r="C18" s="26"/>
      <c r="D18" s="19"/>
      <c r="E18" s="26"/>
      <c r="F18" s="19"/>
      <c r="G18" s="27"/>
      <c r="H18" s="27"/>
      <c r="I18" s="19"/>
      <c r="J18" s="19"/>
      <c r="K18" s="19"/>
      <c r="L18">
        <f t="shared" si="0"/>
        <v>0</v>
      </c>
      <c r="M18">
        <f t="shared" si="1"/>
        <v>0</v>
      </c>
      <c r="N18">
        <f t="shared" si="2"/>
        <v>0</v>
      </c>
      <c r="O18">
        <f t="shared" si="3"/>
        <v>0</v>
      </c>
    </row>
    <row r="19" spans="1:15" ht="19.5" customHeight="1">
      <c r="A19" s="25">
        <v>15</v>
      </c>
      <c r="B19" s="19"/>
      <c r="C19" s="26"/>
      <c r="D19" s="19"/>
      <c r="E19" s="26"/>
      <c r="F19" s="19"/>
      <c r="G19" s="27"/>
      <c r="H19" s="27"/>
      <c r="I19" s="19"/>
      <c r="J19" s="19"/>
      <c r="K19" s="19"/>
      <c r="L19">
        <f t="shared" si="0"/>
        <v>0</v>
      </c>
      <c r="M19">
        <f t="shared" si="1"/>
        <v>0</v>
      </c>
      <c r="N19">
        <f t="shared" si="2"/>
        <v>0</v>
      </c>
      <c r="O19">
        <f t="shared" si="3"/>
        <v>0</v>
      </c>
    </row>
    <row r="20" spans="1:15" ht="19.5" customHeight="1">
      <c r="A20" s="25">
        <v>16</v>
      </c>
      <c r="B20" s="19"/>
      <c r="C20" s="26"/>
      <c r="D20" s="19"/>
      <c r="E20" s="26"/>
      <c r="F20" s="19"/>
      <c r="G20" s="27"/>
      <c r="H20" s="27"/>
      <c r="I20" s="19"/>
      <c r="J20" s="19"/>
      <c r="K20" s="19"/>
      <c r="L20">
        <f t="shared" si="0"/>
        <v>0</v>
      </c>
      <c r="M20">
        <f t="shared" si="1"/>
        <v>0</v>
      </c>
      <c r="N20">
        <f t="shared" si="2"/>
        <v>0</v>
      </c>
      <c r="O20">
        <f t="shared" si="3"/>
        <v>0</v>
      </c>
    </row>
    <row r="21" spans="1:15" ht="19.5" customHeight="1">
      <c r="A21" s="25">
        <v>17</v>
      </c>
      <c r="B21" s="19"/>
      <c r="C21" s="26"/>
      <c r="D21" s="19"/>
      <c r="E21" s="26"/>
      <c r="F21" s="19"/>
      <c r="G21" s="27"/>
      <c r="H21" s="27"/>
      <c r="I21" s="19"/>
      <c r="J21" s="19"/>
      <c r="K21" s="19"/>
      <c r="L21">
        <f t="shared" si="0"/>
        <v>0</v>
      </c>
      <c r="M21">
        <f t="shared" si="1"/>
        <v>0</v>
      </c>
      <c r="N21">
        <f t="shared" si="2"/>
        <v>0</v>
      </c>
      <c r="O21">
        <f t="shared" si="3"/>
        <v>0</v>
      </c>
    </row>
    <row r="22" spans="1:15" ht="19.5" customHeight="1">
      <c r="A22" s="25">
        <v>18</v>
      </c>
      <c r="B22" s="19"/>
      <c r="C22" s="26"/>
      <c r="D22" s="19"/>
      <c r="E22" s="26"/>
      <c r="F22" s="19"/>
      <c r="G22" s="27"/>
      <c r="H22" s="27"/>
      <c r="I22" s="19"/>
      <c r="J22" s="19"/>
      <c r="K22" s="19"/>
      <c r="L22">
        <f t="shared" si="0"/>
        <v>0</v>
      </c>
      <c r="M22">
        <f t="shared" si="1"/>
        <v>0</v>
      </c>
      <c r="N22">
        <f t="shared" si="2"/>
        <v>0</v>
      </c>
      <c r="O22">
        <f t="shared" si="3"/>
        <v>0</v>
      </c>
    </row>
    <row r="23" spans="1:15" ht="19.5" customHeight="1">
      <c r="A23" s="25">
        <v>19</v>
      </c>
      <c r="B23" s="19"/>
      <c r="C23" s="26"/>
      <c r="D23" s="19"/>
      <c r="E23" s="26"/>
      <c r="F23" s="19"/>
      <c r="G23" s="27"/>
      <c r="H23" s="27"/>
      <c r="I23" s="19"/>
      <c r="J23" s="19"/>
      <c r="K23" s="19"/>
      <c r="L23">
        <f t="shared" si="0"/>
        <v>0</v>
      </c>
      <c r="M23">
        <f t="shared" si="1"/>
        <v>0</v>
      </c>
      <c r="N23">
        <f t="shared" si="2"/>
        <v>0</v>
      </c>
      <c r="O23">
        <f t="shared" si="3"/>
        <v>0</v>
      </c>
    </row>
    <row r="24" spans="1:15" ht="19.5" customHeight="1">
      <c r="A24" s="25">
        <v>20</v>
      </c>
      <c r="B24" s="19"/>
      <c r="C24" s="26"/>
      <c r="D24" s="19"/>
      <c r="E24" s="26"/>
      <c r="F24" s="19"/>
      <c r="G24" s="27"/>
      <c r="H24" s="27"/>
      <c r="I24" s="19"/>
      <c r="J24" s="19"/>
      <c r="K24" s="19"/>
      <c r="L24">
        <f t="shared" si="0"/>
        <v>0</v>
      </c>
      <c r="M24">
        <f t="shared" si="1"/>
        <v>0</v>
      </c>
      <c r="N24">
        <f t="shared" si="2"/>
        <v>0</v>
      </c>
      <c r="O24">
        <f t="shared" si="3"/>
        <v>0</v>
      </c>
    </row>
    <row r="25" spans="1:15" ht="19.5" customHeight="1">
      <c r="L25">
        <f>SUM(L5:L24)</f>
        <v>0</v>
      </c>
      <c r="M25">
        <f t="shared" ref="M25:O25" si="4">SUM(M5:M24)</f>
        <v>0</v>
      </c>
      <c r="N25">
        <f t="shared" si="4"/>
        <v>0</v>
      </c>
      <c r="O25">
        <f t="shared" si="4"/>
        <v>0</v>
      </c>
    </row>
    <row r="26" spans="1:15" ht="19.5" customHeight="1" thickBot="1">
      <c r="D26" s="15"/>
      <c r="E26" s="7"/>
      <c r="F26" s="7"/>
      <c r="J26" s="4" t="s">
        <v>5</v>
      </c>
      <c r="K26" s="9">
        <f>COUNTA(C5:C24)</f>
        <v>0</v>
      </c>
    </row>
    <row r="27" spans="1:15" ht="19.5" customHeight="1" thickBot="1">
      <c r="D27" s="8"/>
      <c r="E27" s="8"/>
      <c r="F27" s="8"/>
      <c r="J27" s="5" t="s">
        <v>4</v>
      </c>
      <c r="K27" s="6">
        <f>O25</f>
        <v>0</v>
      </c>
    </row>
  </sheetData>
  <sheetProtection sheet="1" objects="1" scenarios="1" selectLockedCells="1"/>
  <mergeCells count="4">
    <mergeCell ref="A1:B1"/>
    <mergeCell ref="A2:B2"/>
    <mergeCell ref="C1:F1"/>
    <mergeCell ref="C2:F2"/>
  </mergeCells>
  <phoneticPr fontId="1"/>
  <dataValidations count="2">
    <dataValidation type="list" allowBlank="1" showInputMessage="1" showErrorMessage="1" sqref="B5:B24 D5:D24 F5:F24" xr:uid="{00000000-0002-0000-0600-000000000000}">
      <formula1>"一般,大学,高校,中学,小学,　,"</formula1>
    </dataValidation>
    <dataValidation type="list" allowBlank="1" showInputMessage="1" showErrorMessage="1" sqref="K5:K24" xr:uid="{00000000-0002-0000-0600-000001000000}">
      <formula1>"登録,未登録,　,"</formula1>
    </dataValidation>
  </dataValidation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団体名等入力</vt:lpstr>
      <vt:lpstr>男女団体</vt:lpstr>
      <vt:lpstr>男女シングルス</vt:lpstr>
      <vt:lpstr>領収書</vt:lpstr>
      <vt:lpstr>ダブルス</vt:lpstr>
      <vt:lpstr>団体名等入力!Print_Area</vt:lpstr>
      <vt:lpstr>男女シングルス!Print_Area</vt:lpstr>
      <vt:lpstr>男女団体!Print_Area</vt:lpstr>
      <vt:lpstr>領収書!Print_Area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2026-02-09T11:46:11Z</dcterms:modified>
</cp:coreProperties>
</file>