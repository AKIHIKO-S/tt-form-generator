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30" documentId="13_ncr:1_{D2E554E9-A9A2-4CF5-AA5B-119CEC1B6701}" xr6:coauthVersionLast="47" xr6:coauthVersionMax="47" xr10:uidLastSave="{9C95E778-979D-4991-A116-813DC888F2B6}"/>
  <bookViews>
    <workbookView xWindow="-98" yWindow="-98" windowWidth="21795" windowHeight="13875" tabRatio="559" xr2:uid="{00000000-000D-0000-FFFF-FFFF00000000}"/>
  </bookViews>
  <sheets>
    <sheet name="団体名等入力" sheetId="3" r:id="rId1"/>
    <sheet name="男女シングルス" sheetId="22" r:id="rId2"/>
    <sheet name="男女ダブルス" sheetId="23" r:id="rId3"/>
    <sheet name="合計金額" sheetId="26" r:id="rId4"/>
    <sheet name="団体 (記載例)" sheetId="6" state="hidden" r:id="rId5"/>
    <sheet name="シングルス (記載例)" sheetId="7" state="hidden" r:id="rId6"/>
  </sheets>
  <definedNames>
    <definedName name="_xlnm._FilterDatabase" localSheetId="5" hidden="1">'シングルス (記載例)'!$A$4:$H$47</definedName>
    <definedName name="_xlnm._FilterDatabase" localSheetId="1" hidden="1">男女シングルス!$A$4:$I$17</definedName>
    <definedName name="_xlnm.Print_Area" localSheetId="3">合計金額!$A$1:$F$7</definedName>
    <definedName name="_xlnm.Print_Area" localSheetId="0">団体名等入力!$A$1:$D$5</definedName>
    <definedName name="_xlnm.Print_Area" localSheetId="1">男女シングルス!$A$1:$E$48</definedName>
    <definedName name="_xlnm.Print_Area" localSheetId="2">男女ダブルス!$A$1:$G$48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6" l="1"/>
  <c r="A4" i="26" s="1"/>
  <c r="C2" i="22" l="1"/>
  <c r="C2" i="23"/>
  <c r="C1" i="23" l="1"/>
  <c r="C1" i="22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J14" i="23" s="1"/>
  <c r="L14" i="23" s="1"/>
  <c r="A7" i="23"/>
  <c r="A6" i="23"/>
  <c r="A5" i="23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H13" i="22" l="1"/>
  <c r="J13" i="22" s="1"/>
  <c r="J9" i="23"/>
  <c r="L9" i="23" s="1"/>
  <c r="J11" i="23"/>
  <c r="L11" i="23" s="1"/>
  <c r="J12" i="23"/>
  <c r="L12" i="23" s="1"/>
  <c r="J17" i="23"/>
  <c r="L17" i="23" s="1"/>
  <c r="J15" i="23"/>
  <c r="L15" i="23" s="1"/>
  <c r="J10" i="23"/>
  <c r="L10" i="23" s="1"/>
  <c r="J13" i="23"/>
  <c r="L13" i="23" s="1"/>
  <c r="J16" i="23"/>
  <c r="L16" i="23" s="1"/>
  <c r="H15" i="22"/>
  <c r="J15" i="22" s="1"/>
  <c r="H10" i="22"/>
  <c r="J10" i="22" s="1"/>
  <c r="H16" i="22"/>
  <c r="J16" i="22" s="1"/>
  <c r="H12" i="22"/>
  <c r="J12" i="22" s="1"/>
  <c r="H11" i="22"/>
  <c r="J11" i="22" s="1"/>
  <c r="H14" i="22"/>
  <c r="J14" i="22" s="1"/>
  <c r="H9" i="22"/>
  <c r="J7" i="23" l="1"/>
  <c r="C46" i="23" s="1"/>
  <c r="L7" i="23"/>
  <c r="C47" i="23" s="1"/>
  <c r="J9" i="22"/>
  <c r="J7" i="22" s="1"/>
  <c r="C47" i="22" s="1"/>
  <c r="H7" i="22"/>
  <c r="C46" i="22" s="1"/>
  <c r="D6" i="26" l="1"/>
  <c r="C2" i="7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D14AE19D-EC4D-4882-87CC-15B6DE0D0305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6CC49420-7BF1-46AB-AD8E-363119C23691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>ダブルスのパートナーを募集する場合は氏名１および備考欄にその旨ご記入ください。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<sst xmlns="http://schemas.openxmlformats.org/spreadsheetml/2006/main" count="174" uniqueCount="81">
  <si>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</si>
  <si>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</si>
  <si>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</si>
  <si>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</si>
  <si>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</si>
  <si>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</si>
  <si>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</si>
  <si>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</si>
  <si>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</si>
  <si>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</si>
  <si>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</si>
  <si>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</si>
  <si>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</si>
  <si>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</si>
  <si>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</si>
  <si>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</si>
  <si>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</si>
  <si>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</si>
  <si>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</si>
  <si>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</si>
  <si>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</si>
  <si>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</si>
  <si>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</si>
  <si>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</si>
  <si>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</si>
  <si>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</si>
  <si>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</si>
  <si>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</si>
  <si>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</si>
  <si>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</si>
  <si>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</si>
  <si>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</si>
  <si>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</si>
  <si>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</si>
  <si>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</si>
  <si>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</si>
  <si>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</si>
  <si>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</si>
  <si>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</si>
  <si>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</si>
  <si>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</si>
  <si>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</si>
  <si>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登録団体名</t>
    <rPh sb="0" eb="2">
      <t>トウロク</t>
    </rPh>
    <rPh sb="2" eb="4">
      <t>ダンタイ</t>
    </rPh>
    <rPh sb="4" eb="5">
      <t>メイ</t>
    </rPh>
    <phoneticPr fontId="1"/>
  </si>
  <si>
    <t>氏名１の団体名</t>
    <rPh sb="0" eb="2">
      <t>シメイ</t>
    </rPh>
    <rPh sb="4" eb="6">
      <t>ダンタイ</t>
    </rPh>
    <rPh sb="6" eb="7">
      <t>メイ</t>
    </rPh>
    <phoneticPr fontId="1"/>
  </si>
  <si>
    <t>氏名２の団体名</t>
    <rPh sb="0" eb="2">
      <t>シメイ</t>
    </rPh>
    <rPh sb="4" eb="6">
      <t>ダンタイ</t>
    </rPh>
    <rPh sb="6" eb="7">
      <t>メイ</t>
    </rPh>
    <phoneticPr fontId="1"/>
  </si>
  <si>
    <t>北海道選手権（カデットの部）地区予選会</t>
    <rPh sb="0" eb="3">
      <t>ホッカイドウ</t>
    </rPh>
    <rPh sb="3" eb="6">
      <t>センシュケン</t>
    </rPh>
    <rPh sb="12" eb="13">
      <t>ブ</t>
    </rPh>
    <rPh sb="14" eb="16">
      <t>チク</t>
    </rPh>
    <rPh sb="16" eb="18">
      <t>ヨセン</t>
    </rPh>
    <rPh sb="18" eb="19">
      <t>カイ</t>
    </rPh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</si>
  <si>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</si>
  <si>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</si>
  <si>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</si>
  <si>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コーチ</t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</si>
  <si>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</si>
  <si>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今大会は、無観客試合とさせていただきます。選手・顧問・コーチ以外は入場、観戦、応援不可。</t>
    <phoneticPr fontId="1"/>
  </si>
  <si>
    <t>≪参加料は、大会当日の開会式前(午前8時15分～8時45分の間)に受付（本部席）でお支払いください。≫</t>
    <rPh sb="36" eb="39">
      <t>ホンブセキ</t>
    </rPh>
    <phoneticPr fontId="1"/>
  </si>
  <si>
    <t>シングルス（男子・女子）</t>
    <rPh sb="6" eb="8">
      <t>ダンシ</t>
    </rPh>
    <rPh sb="9" eb="11">
      <t>ジョシ</t>
    </rPh>
    <phoneticPr fontId="1"/>
  </si>
  <si>
    <t>備考</t>
    <rPh sb="0" eb="2">
      <t>ビコウ</t>
    </rPh>
    <phoneticPr fontId="18"/>
  </si>
  <si>
    <t>申込数合計</t>
    <rPh sb="0" eb="2">
      <t>モウシコミ</t>
    </rPh>
    <rPh sb="2" eb="3">
      <t>スウ</t>
    </rPh>
    <rPh sb="3" eb="5">
      <t>ゴウケイ</t>
    </rPh>
    <phoneticPr fontId="18"/>
  </si>
  <si>
    <t>金額合計</t>
    <rPh sb="0" eb="4">
      <t>キンガクゴウケイ</t>
    </rPh>
    <phoneticPr fontId="18"/>
  </si>
  <si>
    <t>申込区分</t>
    <rPh sb="0" eb="2">
      <t>モウシコミ</t>
    </rPh>
    <rPh sb="2" eb="4">
      <t>クブン</t>
    </rPh>
    <phoneticPr fontId="18"/>
  </si>
  <si>
    <t>申込数</t>
    <rPh sb="0" eb="2">
      <t>モウシコミ</t>
    </rPh>
    <rPh sb="2" eb="3">
      <t>スウ</t>
    </rPh>
    <phoneticPr fontId="18"/>
  </si>
  <si>
    <t>金額</t>
    <rPh sb="0" eb="2">
      <t>キンガク</t>
    </rPh>
    <phoneticPr fontId="18"/>
  </si>
  <si>
    <t>計</t>
    <rPh sb="0" eb="1">
      <t>ケイ</t>
    </rPh>
    <phoneticPr fontId="18"/>
  </si>
  <si>
    <t>一般男子</t>
    <rPh sb="0" eb="4">
      <t>イッパンダンシ</t>
    </rPh>
    <phoneticPr fontId="18"/>
  </si>
  <si>
    <t>一般女子</t>
    <rPh sb="0" eb="4">
      <t>イッパンジョシ</t>
    </rPh>
    <phoneticPr fontId="18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</si>
  <si>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</si>
  <si>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</si>
  <si>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中学男子</t>
    <rPh sb="0" eb="2">
      <t>チュウガク</t>
    </rPh>
    <rPh sb="2" eb="4">
      <t>ダンシ</t>
    </rPh>
    <phoneticPr fontId="1"/>
  </si>
  <si>
    <t>中学女子</t>
    <rPh sb="0" eb="4">
      <t>チュウガクジョシ</t>
    </rPh>
    <phoneticPr fontId="1"/>
  </si>
  <si>
    <t>小学女子</t>
    <rPh sb="0" eb="4">
      <t>ショウガクジョシ</t>
    </rPh>
    <phoneticPr fontId="1"/>
  </si>
  <si>
    <t>13歳男子（中学1年）以下</t>
    <rPh sb="2" eb="3">
      <t>サイ</t>
    </rPh>
    <rPh sb="3" eb="5">
      <t>ダンシ</t>
    </rPh>
    <rPh sb="6" eb="8">
      <t>チュウガク</t>
    </rPh>
    <rPh sb="9" eb="10">
      <t>ネン</t>
    </rPh>
    <rPh sb="11" eb="13">
      <t>イカ</t>
    </rPh>
    <phoneticPr fontId="1"/>
  </si>
  <si>
    <t>13歳女子（中学1年）以下</t>
    <rPh sb="2" eb="3">
      <t>サイ</t>
    </rPh>
    <rPh sb="3" eb="5">
      <t>ジョシ</t>
    </rPh>
    <rPh sb="6" eb="8">
      <t>チュウガク</t>
    </rPh>
    <rPh sb="9" eb="10">
      <t>ネン</t>
    </rPh>
    <rPh sb="11" eb="13">
      <t>イカ</t>
    </rPh>
    <phoneticPr fontId="1"/>
  </si>
  <si>
    <t>ダブルス（男子・女子）</t>
    <rPh sb="5" eb="7">
      <t>ダンシ</t>
    </rPh>
    <rPh sb="8" eb="10">
      <t>ジョシ</t>
    </rPh>
    <phoneticPr fontId="1"/>
  </si>
  <si>
    <t>種目</t>
    <rPh sb="0" eb="2">
      <t>シュモク</t>
    </rPh>
    <phoneticPr fontId="1"/>
  </si>
  <si>
    <t>氏名１</t>
    <rPh sb="0" eb="2">
      <t>シメイ</t>
    </rPh>
    <phoneticPr fontId="1"/>
  </si>
  <si>
    <t>ミックス</t>
    <phoneticPr fontId="1"/>
  </si>
  <si>
    <t>小学男子</t>
    <rPh sb="0" eb="2">
      <t>ショウガク</t>
    </rPh>
    <rPh sb="2" eb="4">
      <t>ダンシ</t>
    </rPh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</si>
  <si>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</si>
  <si>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です。</t>
    <phoneticPr fontId="1"/>
  </si>
  <si>
    <t>様</t>
    <rPh sb="0" eb="1">
      <t>サマ</t>
    </rPh>
    <phoneticPr fontId="1"/>
  </si>
  <si>
    <t>14歳男子（中学2年）以下</t>
    <rPh sb="2" eb="3">
      <t>サイ</t>
    </rPh>
    <rPh sb="3" eb="5">
      <t>ダンシ</t>
    </rPh>
    <rPh sb="6" eb="8">
      <t>チュウガク</t>
    </rPh>
    <rPh sb="9" eb="10">
      <t>ネン</t>
    </rPh>
    <rPh sb="11" eb="13">
      <t>イカ</t>
    </rPh>
    <phoneticPr fontId="1"/>
  </si>
  <si>
    <t>14歳女子（中学2年）以下</t>
    <rPh sb="2" eb="3">
      <t>サイ</t>
    </rPh>
    <rPh sb="3" eb="5">
      <t>ジョシ</t>
    </rPh>
    <rPh sb="6" eb="8">
      <t>チュウガク</t>
    </rPh>
    <rPh sb="9" eb="10">
      <t>ネン</t>
    </rPh>
    <rPh sb="11" eb="13">
      <t>イカ</t>
    </rPh>
    <phoneticPr fontId="1"/>
  </si>
  <si>
    <t>合計金額</t>
    <rPh sb="0" eb="4">
      <t>ゴウケイキンガク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</si>
</sst>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2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2"/>
      <color rgb="FFFF0000"/>
      <name val="BIZ UDゴシック"/>
      <family val="3"/>
      <charset val="128"/>
    </font>
    <font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7" fillId="0" borderId="0" applyFont="0" applyFill="0" applyBorder="0" applyAlignment="0" applyProtection="0">
      <alignment vertical="center"/>
    </xf>
    <xf numFmtId="0" fontId="17" fillId="0" borderId="0"/>
  </cellStyleXfs>
  <cellXfs count="9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5" fontId="7" fillId="0" borderId="0" xfId="0" applyNumberFormat="1" applyFont="1" applyAlignment="1">
      <alignment horizontal="center" vertical="center"/>
    </xf>
    <xf numFmtId="5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shrinkToFit="1"/>
      <protection locked="0"/>
    </xf>
    <xf numFmtId="0" fontId="16" fillId="0" borderId="0" xfId="0" applyFont="1" applyAlignment="1">
      <alignment vertical="center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0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17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17" fillId="3" borderId="0" xfId="2" applyFill="1" applyAlignment="1">
      <alignment horizontal="center" vertical="center"/>
    </xf>
    <xf numFmtId="0" fontId="17" fillId="4" borderId="1" xfId="2" applyFill="1" applyBorder="1" applyAlignment="1">
      <alignment horizontal="center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0" fontId="17" fillId="5" borderId="1" xfId="2" applyFill="1" applyBorder="1" applyAlignment="1" applyProtection="1">
      <alignment horizontal="center" vertical="center" shrinkToFit="1"/>
      <protection locked="0"/>
    </xf>
    <xf numFmtId="0" fontId="17" fillId="0" borderId="1" xfId="2" applyBorder="1" applyAlignment="1" applyProtection="1">
      <alignment shrinkToFit="1"/>
      <protection locked="0"/>
    </xf>
    <xf numFmtId="0" fontId="17" fillId="0" borderId="0" xfId="2" applyAlignment="1">
      <alignment shrinkToFit="1"/>
    </xf>
    <xf numFmtId="0" fontId="17" fillId="0" borderId="0" xfId="2"/>
    <xf numFmtId="38" fontId="17" fillId="0" borderId="0" xfId="1" applyFont="1" applyAlignment="1" applyProtection="1"/>
    <xf numFmtId="0" fontId="17" fillId="0" borderId="0" xfId="2" applyAlignment="1">
      <alignment horizontal="center" vertical="center"/>
    </xf>
    <xf numFmtId="38" fontId="17" fillId="0" borderId="0" xfId="1" applyFont="1" applyAlignment="1" applyProtection="1">
      <alignment horizontal="center" vertical="center"/>
    </xf>
    <xf numFmtId="0" fontId="0" fillId="0" borderId="0" xfId="2" applyFont="1"/>
    <xf numFmtId="0" fontId="17" fillId="5" borderId="1" xfId="2" applyFill="1" applyBorder="1" applyProtection="1">
      <protection locked="0"/>
    </xf>
    <xf numFmtId="0" fontId="8" fillId="5" borderId="1" xfId="2" applyFont="1" applyFill="1" applyBorder="1" applyAlignment="1" applyProtection="1">
      <alignment horizontal="right"/>
      <protection locked="0"/>
    </xf>
    <xf numFmtId="0" fontId="0" fillId="2" borderId="13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5" fontId="0" fillId="0" borderId="16" xfId="0" applyNumberFormat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17" fillId="3" borderId="1" xfId="2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17" fillId="3" borderId="1" xfId="2" applyFill="1" applyBorder="1" applyAlignment="1">
      <alignment horizontal="center"/>
    </xf>
    <xf numFmtId="0" fontId="12" fillId="5" borderId="1" xfId="2" applyFont="1" applyFill="1" applyBorder="1" applyAlignment="1" applyProtection="1">
      <alignment horizontal="center" vertical="center"/>
      <protection locked="0"/>
    </xf>
    <xf numFmtId="0" fontId="13" fillId="5" borderId="1" xfId="2" applyFont="1" applyFill="1" applyBorder="1" applyAlignment="1" applyProtection="1">
      <alignment vertical="center"/>
      <protection locked="0"/>
    </xf>
    <xf numFmtId="0" fontId="12" fillId="0" borderId="1" xfId="2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shrinkToFit="1"/>
    </xf>
    <xf numFmtId="0" fontId="10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7053C182-F5B9-4A1B-B44E-4F6B374EC4AC}"/>
  </cellStyles>
  <dxfs count="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FF"/>
      <color rgb="FFFFCCCC"/>
      <color rgb="FFCCFFCC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8</xdr:row>
      <xdr:rowOff>234461</xdr:rowOff>
    </xdr:from>
    <xdr:to>
      <xdr:col>3</xdr:col>
      <xdr:colOff>694593</xdr:colOff>
      <xdr:row>10</xdr:row>
      <xdr:rowOff>76933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92FF068-9917-409E-A41D-7E7A63A3CC3C}"/>
            </a:ext>
          </a:extLst>
        </xdr:cNvPr>
        <xdr:cNvSpPr/>
      </xdr:nvSpPr>
      <xdr:spPr>
        <a:xfrm>
          <a:off x="285751" y="1820740"/>
          <a:ext cx="5442438" cy="604472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学校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は○○中学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（例：景雲中学）</a:t>
          </a:r>
          <a:r>
            <a:rPr kumimoji="0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と記載願います。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11"/>
  <sheetViews>
    <sheetView tabSelected="1" view="pageBreakPreview" topLeftCell="A2" zoomScale="115" zoomScaleNormal="100" zoomScaleSheetLayoutView="100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29.25" customHeight="1">
      <c r="A2" s="29" t="s">
        <v>0</v>
      </c>
      <c r="B2" s="29" t="s">
        <v>2</v>
      </c>
      <c r="C2" s="29" t="s">
        <v>46</v>
      </c>
      <c r="D2" s="29" t="s">
        <v>24</v>
      </c>
    </row>
    <row r="3" spans="1:4" ht="29.25" customHeight="1">
      <c r="A3" s="28" t="s">
        <v>45</v>
      </c>
      <c r="B3" s="24"/>
      <c r="C3" s="24"/>
      <c r="D3" s="24"/>
    </row>
    <row r="4" spans="1:4" ht="29.25" customHeight="1">
      <c r="A4" s="34"/>
      <c r="B4" s="35"/>
      <c r="C4" s="35"/>
      <c r="D4" s="35"/>
    </row>
    <row r="5" spans="1:4" ht="24.75" customHeight="1">
      <c r="A5" s="36" t="s">
        <v>52</v>
      </c>
    </row>
    <row r="6" spans="1:4" ht="30" hidden="1" customHeight="1">
      <c r="A6" s="11" t="s">
        <v>47</v>
      </c>
      <c r="B6" s="11" t="s">
        <v>48</v>
      </c>
      <c r="C6" s="11" t="s">
        <v>49</v>
      </c>
      <c r="D6" s="11" t="s">
        <v>49</v>
      </c>
    </row>
    <row r="7" spans="1:4" ht="30" hidden="1" customHeight="1">
      <c r="A7" s="30" t="s">
        <v>50</v>
      </c>
      <c r="B7" s="31"/>
      <c r="C7" s="31"/>
      <c r="D7" s="31"/>
    </row>
    <row r="8" spans="1:4" ht="30" hidden="1" customHeight="1">
      <c r="A8" s="68" t="s">
        <v>51</v>
      </c>
      <c r="B8" s="68"/>
      <c r="C8" s="68"/>
      <c r="D8" s="68"/>
    </row>
    <row r="9" spans="1:4" ht="30" customHeight="1">
      <c r="A9" s="33"/>
      <c r="B9" s="8"/>
      <c r="C9" s="8"/>
      <c r="D9" s="8"/>
    </row>
    <row r="10" spans="1:4" ht="30" customHeight="1">
      <c r="A10" s="33"/>
      <c r="B10" s="32"/>
      <c r="C10" s="32"/>
      <c r="D10" s="32"/>
    </row>
    <row r="11" spans="1:4" ht="30" customHeight="1">
      <c r="A11" s="33"/>
      <c r="B11" s="32"/>
      <c r="C11" s="32"/>
      <c r="D11" s="32"/>
    </row>
  </sheetData>
  <sheetProtection sheet="1" objects="1" scenarios="1" selectLockedCells="1"/>
  <protectedRanges>
    <protectedRange sqref="A3:D4" name="範囲1"/>
  </protectedRanges>
  <mergeCells count="1">
    <mergeCell ref="A8:D8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0E95-C85F-407E-86AD-F4271F8E79E9}">
  <sheetPr>
    <tabColor rgb="FFCCFFCC"/>
  </sheetPr>
  <dimension ref="A1:J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0" customWidth="1"/>
    <col min="2" max="2" width="17.1328125" customWidth="1"/>
    <col min="3" max="4" width="17" customWidth="1"/>
    <col min="5" max="5" width="17" style="9" customWidth="1"/>
    <col min="6" max="6" width="5.59765625" style="9" customWidth="1"/>
    <col min="7" max="9" width="11.46484375" customWidth="1"/>
  </cols>
  <sheetData>
    <row r="1" spans="1:10" s="8" customFormat="1" ht="19.5" customHeight="1">
      <c r="A1" s="69" t="s">
        <v>0</v>
      </c>
      <c r="B1" s="69"/>
      <c r="C1" s="70" t="str">
        <f>IF(団体名等入力!$A$3="","",団体名等入力!$A$3)</f>
        <v>北海道選手権（カデットの部）地区予選会</v>
      </c>
      <c r="D1" s="71"/>
      <c r="E1" s="72"/>
      <c r="F1" s="37"/>
      <c r="G1" s="38"/>
    </row>
    <row r="2" spans="1:10" ht="19.5" customHeight="1">
      <c r="A2" s="69" t="s">
        <v>2</v>
      </c>
      <c r="B2" s="69"/>
      <c r="C2" s="73" t="str">
        <f>IF(団体名等入力!B3="","",団体名等入力!B3)</f>
        <v/>
      </c>
      <c r="D2" s="74"/>
      <c r="E2" s="75"/>
      <c r="F2" s="38"/>
    </row>
    <row r="3" spans="1:10" ht="19.5" customHeight="1">
      <c r="A3" s="39" t="s">
        <v>53</v>
      </c>
      <c r="B3" s="39"/>
      <c r="C3" s="40"/>
      <c r="D3" s="10"/>
    </row>
    <row r="4" spans="1:10" s="9" customFormat="1" ht="33.75" customHeight="1">
      <c r="A4" s="41"/>
      <c r="B4" s="42" t="s">
        <v>71</v>
      </c>
      <c r="C4" s="41" t="s">
        <v>1</v>
      </c>
      <c r="D4" s="41" t="s">
        <v>2</v>
      </c>
      <c r="E4" s="41" t="s">
        <v>54</v>
      </c>
      <c r="F4" s="43"/>
    </row>
    <row r="5" spans="1:10" ht="19.5" customHeight="1">
      <c r="A5" s="44" t="str">
        <f>IF(B5="","",1)</f>
        <v/>
      </c>
      <c r="B5" s="47"/>
      <c r="C5" s="45"/>
      <c r="D5" s="46"/>
      <c r="E5" s="48"/>
      <c r="F5" s="49"/>
    </row>
    <row r="6" spans="1:10" ht="19.5" customHeight="1">
      <c r="A6" s="44" t="str">
        <f>IF(B6="","",A5+1)</f>
        <v/>
      </c>
      <c r="B6" s="47"/>
      <c r="C6" s="45"/>
      <c r="D6" s="47"/>
      <c r="E6" s="48"/>
      <c r="F6" s="49"/>
      <c r="G6" s="50"/>
      <c r="H6" s="50" t="s">
        <v>55</v>
      </c>
      <c r="I6" s="50"/>
      <c r="J6" s="50" t="s">
        <v>56</v>
      </c>
    </row>
    <row r="7" spans="1:10" ht="19.5" customHeight="1">
      <c r="A7" s="44" t="str">
        <f t="shared" ref="A7:A44" si="0">IF(B7="","",A6+1)</f>
        <v/>
      </c>
      <c r="B7" s="47"/>
      <c r="C7" s="45"/>
      <c r="D7" s="47"/>
      <c r="E7" s="48"/>
      <c r="F7" s="49"/>
      <c r="G7" s="50"/>
      <c r="H7" s="50">
        <f>SUM(H9:H16)</f>
        <v>0</v>
      </c>
      <c r="I7" s="50"/>
      <c r="J7" s="51">
        <f>SUM(J9:J16)</f>
        <v>0</v>
      </c>
    </row>
    <row r="8" spans="1:10" ht="19.5" customHeight="1">
      <c r="A8" s="44" t="str">
        <f t="shared" si="0"/>
        <v/>
      </c>
      <c r="B8" s="47"/>
      <c r="C8" s="45"/>
      <c r="D8" s="47"/>
      <c r="E8" s="48"/>
      <c r="F8" s="49"/>
      <c r="G8" s="52" t="s">
        <v>57</v>
      </c>
      <c r="H8" s="52" t="s">
        <v>58</v>
      </c>
      <c r="I8" s="52" t="s">
        <v>59</v>
      </c>
      <c r="J8" s="53" t="s">
        <v>60</v>
      </c>
    </row>
    <row r="9" spans="1:10" ht="19.5" customHeight="1">
      <c r="A9" s="44" t="str">
        <f t="shared" si="0"/>
        <v/>
      </c>
      <c r="B9" s="47"/>
      <c r="C9" s="45"/>
      <c r="D9" s="47"/>
      <c r="E9" s="48"/>
      <c r="F9" s="49"/>
      <c r="G9" s="50" t="s">
        <v>61</v>
      </c>
      <c r="H9" s="50">
        <f t="shared" ref="H9:H16" si="1">COUNTIF(A:B,G9)</f>
        <v>0</v>
      </c>
      <c r="I9" s="51">
        <v>700</v>
      </c>
      <c r="J9" s="51">
        <f>H9*I9</f>
        <v>0</v>
      </c>
    </row>
    <row r="10" spans="1:10" ht="19.5" customHeight="1">
      <c r="A10" s="44" t="str">
        <f t="shared" si="0"/>
        <v/>
      </c>
      <c r="B10" s="47"/>
      <c r="C10" s="45"/>
      <c r="D10" s="47"/>
      <c r="E10" s="48"/>
      <c r="F10" s="49"/>
      <c r="G10" s="50" t="s">
        <v>62</v>
      </c>
      <c r="H10" s="50">
        <f t="shared" si="1"/>
        <v>0</v>
      </c>
      <c r="I10" s="51">
        <v>700</v>
      </c>
      <c r="J10" s="51">
        <f>H10*I10</f>
        <v>0</v>
      </c>
    </row>
    <row r="11" spans="1:10" ht="19.5" customHeight="1">
      <c r="A11" s="44" t="str">
        <f t="shared" si="0"/>
        <v/>
      </c>
      <c r="B11" s="47"/>
      <c r="C11" s="45"/>
      <c r="D11" s="47"/>
      <c r="E11" s="48"/>
      <c r="F11" s="49"/>
      <c r="G11" s="50" t="s">
        <v>63</v>
      </c>
      <c r="H11" s="50">
        <f t="shared" si="1"/>
        <v>0</v>
      </c>
      <c r="I11">
        <v>500</v>
      </c>
      <c r="J11" s="51">
        <f t="shared" ref="J11:J16" si="2">H11*I11</f>
        <v>0</v>
      </c>
    </row>
    <row r="12" spans="1:10" ht="19.5" customHeight="1">
      <c r="A12" s="44" t="str">
        <f t="shared" si="0"/>
        <v/>
      </c>
      <c r="B12" s="47"/>
      <c r="C12" s="45"/>
      <c r="D12" s="47"/>
      <c r="E12" s="48"/>
      <c r="F12" s="49"/>
      <c r="G12" s="54" t="s">
        <v>64</v>
      </c>
      <c r="H12" s="50">
        <f t="shared" si="1"/>
        <v>0</v>
      </c>
      <c r="I12">
        <v>500</v>
      </c>
      <c r="J12" s="51">
        <f t="shared" si="2"/>
        <v>0</v>
      </c>
    </row>
    <row r="13" spans="1:10" ht="19.5" customHeight="1">
      <c r="A13" s="44" t="str">
        <f t="shared" si="0"/>
        <v/>
      </c>
      <c r="B13" s="47"/>
      <c r="C13" s="45"/>
      <c r="D13" s="47"/>
      <c r="E13" s="48"/>
      <c r="F13" s="49"/>
      <c r="G13" s="54" t="s">
        <v>68</v>
      </c>
      <c r="H13" s="50">
        <f t="shared" si="1"/>
        <v>0</v>
      </c>
      <c r="I13">
        <v>500</v>
      </c>
      <c r="J13" s="51">
        <f t="shared" si="2"/>
        <v>0</v>
      </c>
    </row>
    <row r="14" spans="1:10" ht="19.5" customHeight="1">
      <c r="A14" s="44" t="str">
        <f t="shared" si="0"/>
        <v/>
      </c>
      <c r="B14" s="47"/>
      <c r="C14" s="45"/>
      <c r="D14" s="47"/>
      <c r="E14" s="48"/>
      <c r="F14" s="49"/>
      <c r="G14" s="54" t="s">
        <v>69</v>
      </c>
      <c r="H14" s="50">
        <f t="shared" si="1"/>
        <v>0</v>
      </c>
      <c r="I14">
        <v>500</v>
      </c>
      <c r="J14" s="51">
        <f t="shared" si="2"/>
        <v>0</v>
      </c>
    </row>
    <row r="15" spans="1:10" ht="19.5" customHeight="1">
      <c r="A15" s="44" t="str">
        <f t="shared" si="0"/>
        <v/>
      </c>
      <c r="B15" s="47"/>
      <c r="C15" s="45"/>
      <c r="D15" s="47"/>
      <c r="E15" s="48"/>
      <c r="F15" s="49"/>
      <c r="G15" s="54" t="s">
        <v>78</v>
      </c>
      <c r="H15" s="50">
        <f t="shared" si="1"/>
        <v>0</v>
      </c>
      <c r="I15">
        <v>500</v>
      </c>
      <c r="J15" s="51">
        <f t="shared" si="2"/>
        <v>0</v>
      </c>
    </row>
    <row r="16" spans="1:10" ht="19.5" customHeight="1">
      <c r="A16" s="44" t="str">
        <f t="shared" si="0"/>
        <v/>
      </c>
      <c r="B16" s="47"/>
      <c r="C16" s="45"/>
      <c r="D16" s="47"/>
      <c r="E16" s="48"/>
      <c r="F16" s="49"/>
      <c r="G16" s="54" t="s">
        <v>79</v>
      </c>
      <c r="H16" s="50">
        <f t="shared" si="1"/>
        <v>0</v>
      </c>
      <c r="I16">
        <v>500</v>
      </c>
      <c r="J16" s="51">
        <f t="shared" si="2"/>
        <v>0</v>
      </c>
    </row>
    <row r="17" spans="1:7" ht="19.5" customHeight="1">
      <c r="A17" s="44" t="str">
        <f t="shared" si="0"/>
        <v/>
      </c>
      <c r="B17" s="47"/>
      <c r="C17" s="45"/>
      <c r="D17" s="47"/>
      <c r="E17" s="48"/>
      <c r="F17" s="49"/>
      <c r="G17" s="50"/>
    </row>
    <row r="18" spans="1:7" ht="19.5" customHeight="1">
      <c r="A18" s="44" t="str">
        <f t="shared" si="0"/>
        <v/>
      </c>
      <c r="B18" s="47"/>
      <c r="C18" s="45"/>
      <c r="D18" s="47"/>
      <c r="E18" s="48"/>
      <c r="F18" s="49"/>
      <c r="G18" s="50"/>
    </row>
    <row r="19" spans="1:7" ht="19.5" customHeight="1">
      <c r="A19" s="44" t="str">
        <f t="shared" si="0"/>
        <v/>
      </c>
      <c r="B19" s="47"/>
      <c r="C19" s="45"/>
      <c r="D19" s="47"/>
      <c r="E19" s="48"/>
      <c r="F19" s="49"/>
      <c r="G19" s="50"/>
    </row>
    <row r="20" spans="1:7" ht="19.5" customHeight="1">
      <c r="A20" s="44" t="str">
        <f t="shared" si="0"/>
        <v/>
      </c>
      <c r="B20" s="47"/>
      <c r="C20" s="45"/>
      <c r="D20" s="47"/>
      <c r="E20" s="48"/>
      <c r="F20" s="49"/>
      <c r="G20" s="50"/>
    </row>
    <row r="21" spans="1:7" ht="19.5" customHeight="1">
      <c r="A21" s="44" t="str">
        <f t="shared" si="0"/>
        <v/>
      </c>
      <c r="B21" s="47"/>
      <c r="C21" s="45"/>
      <c r="D21" s="47"/>
      <c r="E21" s="48"/>
      <c r="F21" s="49"/>
      <c r="G21" s="50"/>
    </row>
    <row r="22" spans="1:7" ht="19.5" customHeight="1">
      <c r="A22" s="44" t="str">
        <f t="shared" si="0"/>
        <v/>
      </c>
      <c r="B22" s="47"/>
      <c r="C22" s="45"/>
      <c r="D22" s="47"/>
      <c r="E22" s="48"/>
      <c r="F22" s="49"/>
      <c r="G22" s="50"/>
    </row>
    <row r="23" spans="1:7" ht="19.5" customHeight="1">
      <c r="A23" s="44" t="str">
        <f t="shared" si="0"/>
        <v/>
      </c>
      <c r="B23" s="47"/>
      <c r="C23" s="45"/>
      <c r="D23" s="47"/>
      <c r="E23" s="48"/>
      <c r="F23" s="49"/>
      <c r="G23" s="50"/>
    </row>
    <row r="24" spans="1:7" ht="19.5" customHeight="1">
      <c r="A24" s="44" t="str">
        <f t="shared" si="0"/>
        <v/>
      </c>
      <c r="B24" s="47"/>
      <c r="C24" s="45"/>
      <c r="D24" s="47"/>
      <c r="E24" s="48"/>
      <c r="F24" s="49"/>
      <c r="G24" s="50"/>
    </row>
    <row r="25" spans="1:7" ht="19.5" customHeight="1">
      <c r="A25" s="44" t="str">
        <f t="shared" si="0"/>
        <v/>
      </c>
      <c r="B25" s="47"/>
      <c r="C25" s="55"/>
      <c r="D25" s="55"/>
      <c r="E25" s="48"/>
      <c r="F25" s="49"/>
      <c r="G25" s="50"/>
    </row>
    <row r="26" spans="1:7" ht="19.5" customHeight="1">
      <c r="A26" s="44" t="str">
        <f t="shared" si="0"/>
        <v/>
      </c>
      <c r="B26" s="47"/>
      <c r="C26" s="55"/>
      <c r="D26" s="56"/>
      <c r="E26" s="48"/>
      <c r="F26" s="49"/>
      <c r="G26" s="50"/>
    </row>
    <row r="27" spans="1:7" ht="19.5" customHeight="1">
      <c r="A27" s="44" t="str">
        <f t="shared" si="0"/>
        <v/>
      </c>
      <c r="B27" s="47"/>
      <c r="C27" s="55"/>
      <c r="D27" s="55"/>
      <c r="E27" s="48"/>
      <c r="F27" s="49"/>
      <c r="G27" s="50"/>
    </row>
    <row r="28" spans="1:7" ht="19.5" customHeight="1">
      <c r="A28" s="44" t="str">
        <f t="shared" si="0"/>
        <v/>
      </c>
      <c r="B28" s="47"/>
      <c r="C28" s="55"/>
      <c r="D28" s="55"/>
      <c r="E28" s="48"/>
      <c r="F28" s="49"/>
      <c r="G28" s="50"/>
    </row>
    <row r="29" spans="1:7" ht="19.5" customHeight="1">
      <c r="A29" s="44" t="str">
        <f t="shared" si="0"/>
        <v/>
      </c>
      <c r="B29" s="47"/>
      <c r="C29" s="55"/>
      <c r="D29" s="55"/>
      <c r="E29" s="48"/>
      <c r="F29" s="49"/>
      <c r="G29" s="50"/>
    </row>
    <row r="30" spans="1:7" ht="19.5" customHeight="1">
      <c r="A30" s="44" t="str">
        <f t="shared" si="0"/>
        <v/>
      </c>
      <c r="B30" s="47"/>
      <c r="C30" s="55"/>
      <c r="D30" s="55"/>
      <c r="E30" s="48"/>
      <c r="F30" s="49"/>
      <c r="G30" s="50"/>
    </row>
    <row r="31" spans="1:7" ht="19.5" customHeight="1">
      <c r="A31" s="44" t="str">
        <f t="shared" si="0"/>
        <v/>
      </c>
      <c r="B31" s="47"/>
      <c r="C31" s="55"/>
      <c r="D31" s="55"/>
      <c r="E31" s="48"/>
      <c r="F31" s="49"/>
      <c r="G31" s="50"/>
    </row>
    <row r="32" spans="1:7" ht="19.5" customHeight="1">
      <c r="A32" s="44" t="str">
        <f t="shared" si="0"/>
        <v/>
      </c>
      <c r="B32" s="47"/>
      <c r="C32" s="55"/>
      <c r="D32" s="55"/>
      <c r="E32" s="48"/>
      <c r="F32" s="49"/>
      <c r="G32" s="50"/>
    </row>
    <row r="33" spans="1:7" ht="19.5" customHeight="1">
      <c r="A33" s="44" t="str">
        <f t="shared" si="0"/>
        <v/>
      </c>
      <c r="B33" s="47"/>
      <c r="C33" s="55"/>
      <c r="D33" s="55"/>
      <c r="E33" s="48"/>
      <c r="F33" s="49"/>
      <c r="G33" s="50"/>
    </row>
    <row r="34" spans="1:7" ht="19.5" customHeight="1">
      <c r="A34" s="44" t="str">
        <f t="shared" si="0"/>
        <v/>
      </c>
      <c r="B34" s="47"/>
      <c r="C34" s="55"/>
      <c r="D34" s="55"/>
      <c r="E34" s="48"/>
      <c r="F34" s="49"/>
      <c r="G34" s="50"/>
    </row>
    <row r="35" spans="1:7" ht="19.5" customHeight="1">
      <c r="A35" s="44" t="str">
        <f t="shared" si="0"/>
        <v/>
      </c>
      <c r="B35" s="47"/>
      <c r="C35" s="55"/>
      <c r="D35" s="55"/>
      <c r="E35" s="48"/>
      <c r="F35" s="49"/>
      <c r="G35" s="50"/>
    </row>
    <row r="36" spans="1:7" ht="19.5" customHeight="1">
      <c r="A36" s="44" t="str">
        <f t="shared" si="0"/>
        <v/>
      </c>
      <c r="B36" s="47"/>
      <c r="C36" s="55"/>
      <c r="D36" s="55"/>
      <c r="E36" s="48"/>
      <c r="F36" s="49"/>
      <c r="G36" s="50"/>
    </row>
    <row r="37" spans="1:7" ht="19.5" customHeight="1">
      <c r="A37" s="44" t="str">
        <f t="shared" si="0"/>
        <v/>
      </c>
      <c r="B37" s="47"/>
      <c r="C37" s="55"/>
      <c r="D37" s="55"/>
      <c r="E37" s="48"/>
      <c r="F37" s="49"/>
      <c r="G37" s="50"/>
    </row>
    <row r="38" spans="1:7" ht="19.5" customHeight="1">
      <c r="A38" s="44" t="str">
        <f t="shared" si="0"/>
        <v/>
      </c>
      <c r="B38" s="47"/>
      <c r="C38" s="55"/>
      <c r="D38" s="55"/>
      <c r="E38" s="48"/>
      <c r="F38" s="49"/>
      <c r="G38" s="50"/>
    </row>
    <row r="39" spans="1:7" ht="19.5" customHeight="1">
      <c r="A39" s="44" t="str">
        <f t="shared" si="0"/>
        <v/>
      </c>
      <c r="B39" s="47"/>
      <c r="C39" s="55"/>
      <c r="D39" s="55"/>
      <c r="E39" s="48"/>
      <c r="F39" s="49"/>
      <c r="G39" s="50"/>
    </row>
    <row r="40" spans="1:7" ht="19.5" customHeight="1">
      <c r="A40" s="44" t="str">
        <f t="shared" si="0"/>
        <v/>
      </c>
      <c r="B40" s="47"/>
      <c r="C40" s="55"/>
      <c r="D40" s="55"/>
      <c r="E40" s="48"/>
      <c r="F40" s="49"/>
      <c r="G40" s="50"/>
    </row>
    <row r="41" spans="1:7" ht="19.5" customHeight="1">
      <c r="A41" s="44" t="str">
        <f t="shared" si="0"/>
        <v/>
      </c>
      <c r="B41" s="47"/>
      <c r="C41" s="55"/>
      <c r="D41" s="55"/>
      <c r="E41" s="48"/>
      <c r="F41" s="49"/>
      <c r="G41" s="50"/>
    </row>
    <row r="42" spans="1:7" ht="19.5" customHeight="1">
      <c r="A42" s="44" t="str">
        <f t="shared" si="0"/>
        <v/>
      </c>
      <c r="B42" s="47"/>
      <c r="C42" s="55"/>
      <c r="D42" s="55"/>
      <c r="E42" s="48"/>
      <c r="F42" s="49"/>
      <c r="G42" s="50"/>
    </row>
    <row r="43" spans="1:7" ht="19.5" customHeight="1">
      <c r="A43" s="44" t="str">
        <f t="shared" si="0"/>
        <v/>
      </c>
      <c r="B43" s="47"/>
      <c r="C43" s="55"/>
      <c r="D43" s="55"/>
      <c r="E43" s="48"/>
      <c r="F43" s="49"/>
      <c r="G43" s="50"/>
    </row>
    <row r="44" spans="1:7" ht="19.5" customHeight="1">
      <c r="A44" s="44" t="str">
        <f t="shared" si="0"/>
        <v/>
      </c>
      <c r="B44" s="47"/>
      <c r="C44" s="55"/>
      <c r="D44" s="55"/>
      <c r="E44" s="48"/>
      <c r="F44" s="49"/>
    </row>
    <row r="45" spans="1:7" ht="19.5" customHeight="1" thickBot="1"/>
    <row r="46" spans="1:7" ht="19.5" customHeight="1" thickBot="1">
      <c r="B46" s="57" t="s">
        <v>7</v>
      </c>
      <c r="C46" s="58">
        <f>H7</f>
        <v>0</v>
      </c>
    </row>
    <row r="47" spans="1:7" ht="19.5" customHeight="1" thickBot="1">
      <c r="B47" s="59" t="s">
        <v>3</v>
      </c>
      <c r="C47" s="60">
        <f>J7</f>
        <v>0</v>
      </c>
    </row>
  </sheetData>
  <sheetProtection sheet="1" selectLockedCells="1"/>
  <mergeCells count="4">
    <mergeCell ref="A1:B1"/>
    <mergeCell ref="C1:E1"/>
    <mergeCell ref="A2:B2"/>
    <mergeCell ref="C2:E2"/>
  </mergeCells>
  <phoneticPr fontId="1"/>
  <conditionalFormatting sqref="B4:B44">
    <cfRule type="containsText" dxfId="8" priority="2" operator="containsText" text="女子">
      <formula>NOT(ISERROR(SEARCH("女子",B4)))</formula>
    </cfRule>
    <cfRule type="containsText" dxfId="7" priority="3" operator="containsText" text="男子">
      <formula>NOT(ISERROR(SEARCH("男子",B4)))</formula>
    </cfRule>
  </conditionalFormatting>
  <conditionalFormatting sqref="B5:B44 C5:F5">
    <cfRule type="notContainsBlanks" dxfId="6" priority="4">
      <formula>LEN(TRIM(B5))&gt;0</formula>
    </cfRule>
  </conditionalFormatting>
  <conditionalFormatting sqref="D5">
    <cfRule type="colorScale" priority="1">
      <colorScale>
        <cfvo type="min"/>
        <cfvo type="max"/>
        <color rgb="FFFF7128"/>
        <color rgb="FFFFEF9C"/>
      </colorScale>
    </cfRule>
  </conditionalFormatting>
  <conditionalFormatting sqref="E6:F18 C6:D44 E20:F44">
    <cfRule type="notContainsBlanks" dxfId="5" priority="5">
      <formula>LEN(TRIM(C6))&gt;0</formula>
    </cfRule>
  </conditionalFormatting>
  <dataValidations count="1">
    <dataValidation type="list" allowBlank="1" showInputMessage="1" showErrorMessage="1" sqref="B5:B44" xr:uid="{BBAF470D-6A70-4091-8D88-5704DD3AA478}">
      <formula1>$G$13:$G$17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D521-6CBA-4138-841C-FC7A6DC1C605}">
  <sheetPr>
    <tabColor rgb="FFCCFFFF"/>
  </sheetPr>
  <dimension ref="A1:L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0" customWidth="1"/>
    <col min="2" max="2" width="11.73046875" customWidth="1"/>
    <col min="3" max="6" width="17.59765625" customWidth="1"/>
    <col min="7" max="7" width="15.86328125" style="9" customWidth="1"/>
  </cols>
  <sheetData>
    <row r="1" spans="1:12" s="8" customFormat="1" ht="19.5" customHeight="1">
      <c r="A1" s="76" t="s">
        <v>0</v>
      </c>
      <c r="B1" s="76"/>
      <c r="C1" s="77" t="str">
        <f>IF(団体名等入力!$A$3="","",団体名等入力!$A$3)</f>
        <v>北海道選手権（カデットの部）地区予選会</v>
      </c>
      <c r="D1" s="77"/>
      <c r="E1" s="77"/>
      <c r="F1" s="77"/>
      <c r="G1" s="77"/>
    </row>
    <row r="2" spans="1:12" ht="19.5" customHeight="1">
      <c r="A2" s="76" t="s">
        <v>42</v>
      </c>
      <c r="B2" s="76"/>
      <c r="C2" s="76" t="str">
        <f>IF(団体名等入力!B3="","",団体名等入力!B3)</f>
        <v/>
      </c>
      <c r="D2" s="76"/>
      <c r="E2" s="76"/>
      <c r="F2" s="76"/>
      <c r="G2" s="76"/>
    </row>
    <row r="3" spans="1:12" ht="19.5" customHeight="1">
      <c r="A3" s="78" t="s">
        <v>70</v>
      </c>
      <c r="B3" s="78"/>
      <c r="C3" s="79"/>
      <c r="D3" s="61"/>
      <c r="E3" s="10"/>
      <c r="F3" s="10"/>
    </row>
    <row r="4" spans="1:12" s="9" customFormat="1" ht="32.25" customHeight="1">
      <c r="A4" s="62"/>
      <c r="B4" s="63" t="s">
        <v>71</v>
      </c>
      <c r="C4" s="62" t="s">
        <v>72</v>
      </c>
      <c r="D4" s="62" t="s">
        <v>9</v>
      </c>
      <c r="E4" s="62" t="s">
        <v>43</v>
      </c>
      <c r="F4" s="62" t="s">
        <v>44</v>
      </c>
      <c r="G4" s="62" t="s">
        <v>54</v>
      </c>
    </row>
    <row r="5" spans="1:12" ht="19.5" customHeight="1">
      <c r="A5" s="64" t="str">
        <f>IF(B5="","",1)</f>
        <v/>
      </c>
      <c r="B5" s="65"/>
      <c r="C5" s="66"/>
      <c r="D5" s="66"/>
      <c r="E5" s="65"/>
      <c r="F5" s="65"/>
      <c r="G5" s="67"/>
    </row>
    <row r="6" spans="1:12" ht="19.5" customHeight="1">
      <c r="A6" s="64" t="str">
        <f>IF(B6="","",A5+1)</f>
        <v/>
      </c>
      <c r="B6" s="65"/>
      <c r="C6" s="66"/>
      <c r="D6" s="66"/>
      <c r="E6" s="65"/>
      <c r="F6" s="65"/>
      <c r="G6" s="67"/>
      <c r="H6" s="49"/>
      <c r="I6" s="50"/>
      <c r="J6" s="50" t="s">
        <v>55</v>
      </c>
      <c r="K6" s="50"/>
      <c r="L6" s="50" t="s">
        <v>56</v>
      </c>
    </row>
    <row r="7" spans="1:12" ht="19.5" customHeight="1">
      <c r="A7" s="64" t="str">
        <f t="shared" ref="A7:A44" si="0">IF(B7="","",A6+1)</f>
        <v/>
      </c>
      <c r="B7" s="65"/>
      <c r="C7" s="66"/>
      <c r="D7" s="66"/>
      <c r="E7" s="65"/>
      <c r="F7" s="65"/>
      <c r="G7" s="67"/>
      <c r="H7" s="49"/>
      <c r="I7" s="50"/>
      <c r="J7" s="50">
        <f>SUM(J9:J17)</f>
        <v>0</v>
      </c>
      <c r="K7" s="50"/>
      <c r="L7" s="51">
        <f>SUM(L9:L17)</f>
        <v>0</v>
      </c>
    </row>
    <row r="8" spans="1:12" ht="19.5" customHeight="1">
      <c r="A8" s="64" t="str">
        <f t="shared" si="0"/>
        <v/>
      </c>
      <c r="B8" s="65"/>
      <c r="C8" s="66"/>
      <c r="D8" s="66"/>
      <c r="E8" s="65"/>
      <c r="F8" s="65"/>
      <c r="G8" s="67"/>
      <c r="H8" s="49"/>
      <c r="I8" s="52" t="s">
        <v>57</v>
      </c>
      <c r="J8" s="52" t="s">
        <v>58</v>
      </c>
      <c r="K8" s="52" t="s">
        <v>59</v>
      </c>
      <c r="L8" s="53" t="s">
        <v>60</v>
      </c>
    </row>
    <row r="9" spans="1:12" ht="19.5" customHeight="1">
      <c r="A9" s="64" t="str">
        <f t="shared" si="0"/>
        <v/>
      </c>
      <c r="B9" s="65"/>
      <c r="C9" s="66"/>
      <c r="D9" s="66"/>
      <c r="E9" s="65"/>
      <c r="F9" s="65"/>
      <c r="G9" s="67"/>
      <c r="H9" s="49"/>
      <c r="I9" t="s">
        <v>73</v>
      </c>
      <c r="J9" s="50">
        <f t="shared" ref="J9:J17" si="1">COUNTIF(A:B,I9)</f>
        <v>0</v>
      </c>
      <c r="K9" s="51">
        <v>1000</v>
      </c>
      <c r="L9" s="51">
        <f>J9*K9</f>
        <v>0</v>
      </c>
    </row>
    <row r="10" spans="1:12" ht="19.5" customHeight="1">
      <c r="A10" s="64" t="str">
        <f t="shared" si="0"/>
        <v/>
      </c>
      <c r="B10" s="65"/>
      <c r="C10" s="66"/>
      <c r="D10" s="66"/>
      <c r="E10" s="65"/>
      <c r="F10" s="65"/>
      <c r="G10" s="67"/>
      <c r="H10" s="49"/>
      <c r="I10" s="50" t="s">
        <v>61</v>
      </c>
      <c r="J10" s="50">
        <f t="shared" si="1"/>
        <v>0</v>
      </c>
      <c r="K10" s="51">
        <v>1000</v>
      </c>
      <c r="L10" s="51">
        <f>J10*K10</f>
        <v>0</v>
      </c>
    </row>
    <row r="11" spans="1:12" ht="19.5" customHeight="1">
      <c r="A11" s="64" t="str">
        <f t="shared" si="0"/>
        <v/>
      </c>
      <c r="B11" s="65"/>
      <c r="C11" s="66"/>
      <c r="D11" s="66"/>
      <c r="E11" s="65"/>
      <c r="F11" s="65"/>
      <c r="G11" s="67"/>
      <c r="H11" s="49"/>
      <c r="I11" s="50" t="s">
        <v>62</v>
      </c>
      <c r="J11" s="50">
        <f t="shared" si="1"/>
        <v>0</v>
      </c>
      <c r="K11" s="51">
        <v>1000</v>
      </c>
      <c r="L11" s="51">
        <f>J11*K11</f>
        <v>0</v>
      </c>
    </row>
    <row r="12" spans="1:12" ht="19.5" customHeight="1">
      <c r="A12" s="64" t="str">
        <f t="shared" si="0"/>
        <v/>
      </c>
      <c r="B12" s="65"/>
      <c r="C12" s="66"/>
      <c r="D12" s="66"/>
      <c r="E12" s="65"/>
      <c r="F12" s="65"/>
      <c r="G12" s="67"/>
      <c r="H12" s="49"/>
      <c r="I12" s="50" t="s">
        <v>63</v>
      </c>
      <c r="J12" s="50">
        <f t="shared" si="1"/>
        <v>0</v>
      </c>
      <c r="K12">
        <v>800</v>
      </c>
      <c r="L12" s="51">
        <f t="shared" ref="L12:L17" si="2">J12*K12</f>
        <v>0</v>
      </c>
    </row>
    <row r="13" spans="1:12" ht="19.5" customHeight="1">
      <c r="A13" s="64" t="str">
        <f t="shared" si="0"/>
        <v/>
      </c>
      <c r="B13" s="65"/>
      <c r="C13" s="66"/>
      <c r="D13" s="66"/>
      <c r="E13" s="65"/>
      <c r="F13" s="65"/>
      <c r="G13" s="67"/>
      <c r="H13" s="49"/>
      <c r="I13" s="54" t="s">
        <v>64</v>
      </c>
      <c r="J13" s="50">
        <f t="shared" si="1"/>
        <v>0</v>
      </c>
      <c r="K13">
        <v>800</v>
      </c>
      <c r="L13" s="51">
        <f t="shared" si="2"/>
        <v>0</v>
      </c>
    </row>
    <row r="14" spans="1:12" ht="19.5" customHeight="1">
      <c r="A14" s="64" t="str">
        <f t="shared" si="0"/>
        <v/>
      </c>
      <c r="B14" s="65"/>
      <c r="C14" s="66"/>
      <c r="D14" s="66"/>
      <c r="E14" s="65"/>
      <c r="F14" s="65"/>
      <c r="G14" s="67"/>
      <c r="H14" s="49"/>
      <c r="I14" s="54" t="s">
        <v>65</v>
      </c>
      <c r="J14" s="50">
        <f t="shared" si="1"/>
        <v>0</v>
      </c>
      <c r="K14">
        <v>800</v>
      </c>
      <c r="L14" s="51">
        <f t="shared" si="2"/>
        <v>0</v>
      </c>
    </row>
    <row r="15" spans="1:12" ht="19.5" customHeight="1">
      <c r="A15" s="64" t="str">
        <f t="shared" si="0"/>
        <v/>
      </c>
      <c r="B15" s="65"/>
      <c r="C15" s="66"/>
      <c r="D15" s="66"/>
      <c r="E15" s="65"/>
      <c r="F15" s="65"/>
      <c r="G15" s="67"/>
      <c r="H15" s="49"/>
      <c r="I15" s="54" t="s">
        <v>66</v>
      </c>
      <c r="J15" s="50">
        <f t="shared" si="1"/>
        <v>0</v>
      </c>
      <c r="K15">
        <v>800</v>
      </c>
      <c r="L15" s="51">
        <f t="shared" si="2"/>
        <v>0</v>
      </c>
    </row>
    <row r="16" spans="1:12" ht="19.5" customHeight="1">
      <c r="A16" s="64" t="str">
        <f t="shared" si="0"/>
        <v/>
      </c>
      <c r="B16" s="65"/>
      <c r="C16" s="66"/>
      <c r="D16" s="66"/>
      <c r="E16" s="65"/>
      <c r="F16" s="65"/>
      <c r="G16" s="67"/>
      <c r="H16" s="49"/>
      <c r="I16" s="54" t="s">
        <v>74</v>
      </c>
      <c r="J16" s="50">
        <f t="shared" si="1"/>
        <v>0</v>
      </c>
      <c r="K16">
        <v>800</v>
      </c>
      <c r="L16" s="51">
        <f t="shared" si="2"/>
        <v>0</v>
      </c>
    </row>
    <row r="17" spans="1:12" ht="19.5" customHeight="1">
      <c r="A17" s="64" t="str">
        <f t="shared" si="0"/>
        <v/>
      </c>
      <c r="B17" s="65"/>
      <c r="C17" s="66"/>
      <c r="D17" s="66"/>
      <c r="E17" s="65"/>
      <c r="F17" s="65"/>
      <c r="G17" s="67"/>
      <c r="H17" s="49"/>
      <c r="I17" s="54" t="s">
        <v>67</v>
      </c>
      <c r="J17" s="50">
        <f t="shared" si="1"/>
        <v>0</v>
      </c>
      <c r="K17">
        <v>800</v>
      </c>
      <c r="L17" s="51">
        <f t="shared" si="2"/>
        <v>0</v>
      </c>
    </row>
    <row r="18" spans="1:12" ht="19.5" customHeight="1">
      <c r="A18" s="64" t="str">
        <f t="shared" si="0"/>
        <v/>
      </c>
      <c r="B18" s="65"/>
      <c r="C18" s="66"/>
      <c r="D18" s="66"/>
      <c r="E18" s="65"/>
      <c r="F18" s="65"/>
      <c r="G18" s="67"/>
      <c r="J18" s="50"/>
    </row>
    <row r="19" spans="1:12" ht="19.5" customHeight="1">
      <c r="A19" s="64" t="str">
        <f t="shared" si="0"/>
        <v/>
      </c>
      <c r="B19" s="65"/>
      <c r="C19" s="66"/>
      <c r="D19" s="66"/>
      <c r="E19" s="65"/>
      <c r="F19" s="65"/>
      <c r="G19" s="67"/>
    </row>
    <row r="20" spans="1:12" ht="19.5" customHeight="1">
      <c r="A20" s="64" t="str">
        <f t="shared" si="0"/>
        <v/>
      </c>
      <c r="B20" s="65"/>
      <c r="C20" s="66"/>
      <c r="D20" s="66"/>
      <c r="E20" s="65"/>
      <c r="F20" s="65"/>
      <c r="G20" s="67"/>
    </row>
    <row r="21" spans="1:12" ht="19.5" customHeight="1">
      <c r="A21" s="64" t="str">
        <f t="shared" si="0"/>
        <v/>
      </c>
      <c r="B21" s="65"/>
      <c r="C21" s="66"/>
      <c r="D21" s="66"/>
      <c r="E21" s="65"/>
      <c r="F21" s="65"/>
      <c r="G21" s="67"/>
    </row>
    <row r="22" spans="1:12" ht="19.5" customHeight="1">
      <c r="A22" s="64" t="str">
        <f t="shared" si="0"/>
        <v/>
      </c>
      <c r="B22" s="65"/>
      <c r="C22" s="66"/>
      <c r="D22" s="66"/>
      <c r="E22" s="65"/>
      <c r="F22" s="65"/>
      <c r="G22" s="67"/>
    </row>
    <row r="23" spans="1:12" ht="19.5" customHeight="1">
      <c r="A23" s="64" t="str">
        <f t="shared" si="0"/>
        <v/>
      </c>
      <c r="B23" s="65"/>
      <c r="C23" s="66"/>
      <c r="D23" s="66"/>
      <c r="E23" s="65"/>
      <c r="F23" s="65"/>
      <c r="G23" s="67"/>
    </row>
    <row r="24" spans="1:12" ht="19.5" customHeight="1">
      <c r="A24" s="64" t="str">
        <f t="shared" si="0"/>
        <v/>
      </c>
      <c r="B24" s="65"/>
      <c r="C24" s="66"/>
      <c r="D24" s="66"/>
      <c r="E24" s="65"/>
      <c r="F24" s="65"/>
      <c r="G24" s="67"/>
    </row>
    <row r="25" spans="1:12" ht="19.5" customHeight="1">
      <c r="A25" s="64" t="str">
        <f t="shared" si="0"/>
        <v/>
      </c>
      <c r="B25" s="65"/>
      <c r="C25" s="66"/>
      <c r="D25" s="66"/>
      <c r="E25" s="65"/>
      <c r="F25" s="65"/>
      <c r="G25" s="67"/>
    </row>
    <row r="26" spans="1:12" ht="19.5" customHeight="1">
      <c r="A26" s="64" t="str">
        <f t="shared" si="0"/>
        <v/>
      </c>
      <c r="B26" s="65"/>
      <c r="C26" s="66"/>
      <c r="D26" s="66"/>
      <c r="E26" s="65"/>
      <c r="F26" s="65"/>
      <c r="G26" s="67"/>
    </row>
    <row r="27" spans="1:12" ht="19.5" customHeight="1">
      <c r="A27" s="64" t="str">
        <f t="shared" si="0"/>
        <v/>
      </c>
      <c r="B27" s="65"/>
      <c r="C27" s="66"/>
      <c r="D27" s="66"/>
      <c r="E27" s="65"/>
      <c r="F27" s="65"/>
      <c r="G27" s="67"/>
    </row>
    <row r="28" spans="1:12" ht="19.5" customHeight="1">
      <c r="A28" s="64" t="str">
        <f t="shared" si="0"/>
        <v/>
      </c>
      <c r="B28" s="65"/>
      <c r="C28" s="66"/>
      <c r="D28" s="66"/>
      <c r="E28" s="65"/>
      <c r="F28" s="65"/>
      <c r="G28" s="67"/>
    </row>
    <row r="29" spans="1:12" ht="19.5" customHeight="1">
      <c r="A29" s="64" t="str">
        <f t="shared" si="0"/>
        <v/>
      </c>
      <c r="B29" s="65"/>
      <c r="C29" s="66"/>
      <c r="D29" s="66"/>
      <c r="E29" s="65"/>
      <c r="F29" s="65"/>
      <c r="G29" s="67"/>
    </row>
    <row r="30" spans="1:12" ht="19.5" customHeight="1">
      <c r="A30" s="64" t="str">
        <f t="shared" si="0"/>
        <v/>
      </c>
      <c r="B30" s="65"/>
      <c r="C30" s="66"/>
      <c r="D30" s="66"/>
      <c r="E30" s="65"/>
      <c r="F30" s="65"/>
      <c r="G30" s="67"/>
    </row>
    <row r="31" spans="1:12" ht="19.5" customHeight="1">
      <c r="A31" s="64" t="str">
        <f t="shared" si="0"/>
        <v/>
      </c>
      <c r="B31" s="65"/>
      <c r="C31" s="66"/>
      <c r="D31" s="66"/>
      <c r="E31" s="65"/>
      <c r="F31" s="65"/>
      <c r="G31" s="67"/>
    </row>
    <row r="32" spans="1:12" ht="19.5" customHeight="1">
      <c r="A32" s="64" t="str">
        <f t="shared" si="0"/>
        <v/>
      </c>
      <c r="B32" s="65"/>
      <c r="C32" s="66"/>
      <c r="D32" s="66"/>
      <c r="E32" s="65"/>
      <c r="F32" s="65"/>
      <c r="G32" s="67"/>
    </row>
    <row r="33" spans="1:7" ht="19.5" customHeight="1">
      <c r="A33" s="64" t="str">
        <f t="shared" si="0"/>
        <v/>
      </c>
      <c r="B33" s="65"/>
      <c r="C33" s="66"/>
      <c r="D33" s="66"/>
      <c r="E33" s="65"/>
      <c r="F33" s="65"/>
      <c r="G33" s="67"/>
    </row>
    <row r="34" spans="1:7" ht="19.5" customHeight="1">
      <c r="A34" s="64" t="str">
        <f t="shared" si="0"/>
        <v/>
      </c>
      <c r="B34" s="65"/>
      <c r="C34" s="66"/>
      <c r="D34" s="66"/>
      <c r="E34" s="65"/>
      <c r="F34" s="65"/>
      <c r="G34" s="67"/>
    </row>
    <row r="35" spans="1:7" ht="19.5" customHeight="1">
      <c r="A35" s="64" t="str">
        <f t="shared" si="0"/>
        <v/>
      </c>
      <c r="B35" s="65"/>
      <c r="C35" s="66"/>
      <c r="D35" s="66"/>
      <c r="E35" s="65"/>
      <c r="F35" s="65"/>
      <c r="G35" s="67"/>
    </row>
    <row r="36" spans="1:7" ht="19.5" customHeight="1">
      <c r="A36" s="64" t="str">
        <f t="shared" si="0"/>
        <v/>
      </c>
      <c r="B36" s="65"/>
      <c r="C36" s="66"/>
      <c r="D36" s="66"/>
      <c r="E36" s="65"/>
      <c r="F36" s="65"/>
      <c r="G36" s="67"/>
    </row>
    <row r="37" spans="1:7" ht="19.5" customHeight="1">
      <c r="A37" s="64" t="str">
        <f t="shared" si="0"/>
        <v/>
      </c>
      <c r="B37" s="65"/>
      <c r="C37" s="66"/>
      <c r="D37" s="66"/>
      <c r="E37" s="65"/>
      <c r="F37" s="65"/>
      <c r="G37" s="67"/>
    </row>
    <row r="38" spans="1:7" ht="19.5" customHeight="1">
      <c r="A38" s="64" t="str">
        <f t="shared" si="0"/>
        <v/>
      </c>
      <c r="B38" s="65"/>
      <c r="C38" s="66"/>
      <c r="D38" s="66"/>
      <c r="E38" s="65"/>
      <c r="F38" s="65"/>
      <c r="G38" s="67"/>
    </row>
    <row r="39" spans="1:7" ht="19.5" customHeight="1">
      <c r="A39" s="64" t="str">
        <f t="shared" si="0"/>
        <v/>
      </c>
      <c r="B39" s="65"/>
      <c r="C39" s="66"/>
      <c r="D39" s="66"/>
      <c r="E39" s="65"/>
      <c r="F39" s="65"/>
      <c r="G39" s="67"/>
    </row>
    <row r="40" spans="1:7" ht="19.5" customHeight="1">
      <c r="A40" s="64" t="str">
        <f t="shared" si="0"/>
        <v/>
      </c>
      <c r="B40" s="65"/>
      <c r="C40" s="66"/>
      <c r="D40" s="66"/>
      <c r="E40" s="65"/>
      <c r="F40" s="65"/>
      <c r="G40" s="67"/>
    </row>
    <row r="41" spans="1:7" ht="19.5" customHeight="1">
      <c r="A41" s="64" t="str">
        <f t="shared" si="0"/>
        <v/>
      </c>
      <c r="B41" s="65"/>
      <c r="C41" s="66"/>
      <c r="D41" s="66"/>
      <c r="E41" s="65"/>
      <c r="F41" s="65"/>
      <c r="G41" s="67"/>
    </row>
    <row r="42" spans="1:7" ht="19.5" customHeight="1">
      <c r="A42" s="64" t="str">
        <f t="shared" si="0"/>
        <v/>
      </c>
      <c r="B42" s="65"/>
      <c r="C42" s="66"/>
      <c r="D42" s="66"/>
      <c r="E42" s="65"/>
      <c r="F42" s="65"/>
      <c r="G42" s="67"/>
    </row>
    <row r="43" spans="1:7" ht="19.5" customHeight="1">
      <c r="A43" s="64" t="str">
        <f t="shared" si="0"/>
        <v/>
      </c>
      <c r="B43" s="65"/>
      <c r="C43" s="66"/>
      <c r="D43" s="66"/>
      <c r="E43" s="65"/>
      <c r="F43" s="65"/>
      <c r="G43" s="67"/>
    </row>
    <row r="44" spans="1:7" ht="19.5" customHeight="1">
      <c r="A44" s="64" t="str">
        <f t="shared" si="0"/>
        <v/>
      </c>
      <c r="B44" s="65"/>
      <c r="C44" s="66"/>
      <c r="D44" s="66"/>
      <c r="E44" s="65"/>
      <c r="F44" s="65"/>
      <c r="G44" s="67"/>
    </row>
    <row r="45" spans="1:7" ht="19.5" customHeight="1" thickBot="1"/>
    <row r="46" spans="1:7" ht="19.5" customHeight="1" thickBot="1">
      <c r="B46" s="57" t="s">
        <v>7</v>
      </c>
      <c r="C46" s="58">
        <f>J7</f>
        <v>0</v>
      </c>
    </row>
    <row r="47" spans="1:7" ht="19.5" customHeight="1" thickBot="1">
      <c r="B47" s="59" t="s">
        <v>3</v>
      </c>
      <c r="C47" s="60">
        <f>L7</f>
        <v>0</v>
      </c>
    </row>
  </sheetData>
  <sheetProtection sheet="1" selectLockedCells="1"/>
  <mergeCells count="5">
    <mergeCell ref="A1:B1"/>
    <mergeCell ref="C1:G1"/>
    <mergeCell ref="A2:B2"/>
    <mergeCell ref="C2:G2"/>
    <mergeCell ref="A3:C3"/>
  </mergeCells>
  <phoneticPr fontId="1"/>
  <conditionalFormatting sqref="B4:B44">
    <cfRule type="containsText" dxfId="4" priority="3" operator="containsText" text="混合">
      <formula>NOT(ISERROR(SEARCH("混合",B4)))</formula>
    </cfRule>
    <cfRule type="containsText" dxfId="3" priority="4" operator="containsText" text="女子">
      <formula>NOT(ISERROR(SEARCH("女子",B4)))</formula>
    </cfRule>
    <cfRule type="containsText" dxfId="2" priority="5" operator="containsText" text="男子">
      <formula>NOT(ISERROR(SEARCH("男子",B4)))</formula>
    </cfRule>
  </conditionalFormatting>
  <conditionalFormatting sqref="B5:G44">
    <cfRule type="notContainsBlanks" dxfId="1" priority="6">
      <formula>LEN(TRIM(B5))&gt;0</formula>
    </cfRule>
  </conditionalFormatting>
  <conditionalFormatting sqref="H6:H17">
    <cfRule type="notContainsBlanks" dxfId="0" priority="2">
      <formula>LEN(TRIM(H6))&gt;0</formula>
    </cfRule>
  </conditionalFormatting>
  <dataValidations count="1">
    <dataValidation type="list" allowBlank="1" showInputMessage="1" showErrorMessage="1" sqref="B5:B44" xr:uid="{A8BA3789-EFF4-4D87-A36A-5F8E791B5195}">
      <formula1>$I$14:$I$15</formula1>
    </dataValidation>
  </dataValidations>
  <pageMargins left="0.7" right="0.7" top="0.75" bottom="0.75" header="0.3" footer="0.3"/>
  <pageSetup paperSize="9" scale="9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08D7-A39D-4913-8CAA-020FB29666FE}">
  <sheetPr>
    <tabColor theme="1"/>
  </sheetPr>
  <dimension ref="A1:I9"/>
  <sheetViews>
    <sheetView view="pageBreakPreview" zoomScale="115" zoomScaleNormal="100" zoomScaleSheetLayoutView="115" workbookViewId="0">
      <selection activeCell="D6" sqref="D6"/>
    </sheetView>
  </sheetViews>
  <sheetFormatPr defaultRowHeight="40.5" customHeight="1"/>
  <cols>
    <col min="1" max="1" width="20.73046875" customWidth="1"/>
    <col min="2" max="2" width="9.86328125" customWidth="1"/>
    <col min="3" max="3" width="5.46484375" customWidth="1"/>
    <col min="4" max="4" width="39.1328125" bestFit="1" customWidth="1"/>
    <col min="5" max="5" width="3.86328125" bestFit="1" customWidth="1"/>
    <col min="6" max="6" width="10.265625" customWidth="1"/>
    <col min="8" max="8" width="9.06640625" hidden="1" customWidth="1"/>
  </cols>
  <sheetData>
    <row r="1" spans="1:9" ht="40.5" customHeight="1">
      <c r="A1" s="81" t="s">
        <v>80</v>
      </c>
      <c r="B1" s="81"/>
      <c r="C1" s="81"/>
      <c r="D1" s="81"/>
      <c r="E1" s="81"/>
      <c r="F1" s="81"/>
    </row>
    <row r="2" spans="1:9" ht="40.5" customHeight="1">
      <c r="A2" s="81"/>
      <c r="B2" s="81"/>
      <c r="C2" s="81"/>
      <c r="D2" s="81"/>
      <c r="E2" s="81"/>
      <c r="F2" s="81"/>
    </row>
    <row r="4" spans="1:9" ht="40.5" customHeight="1">
      <c r="A4" s="82" t="str">
        <f>H4</f>
        <v/>
      </c>
      <c r="B4" s="82"/>
      <c r="C4" s="3" t="s">
        <v>77</v>
      </c>
      <c r="E4" s="6"/>
      <c r="F4" s="3"/>
      <c r="H4" t="str">
        <f>IF(団体名等入力!B3="","",団体名等入力!B3)</f>
        <v/>
      </c>
      <c r="I4" s="8"/>
    </row>
    <row r="5" spans="1:9" ht="14.25" customHeight="1">
      <c r="A5" s="5"/>
      <c r="B5" s="5"/>
      <c r="C5" s="5"/>
      <c r="D5" s="6"/>
      <c r="E5" s="6"/>
      <c r="F5" s="3"/>
    </row>
    <row r="6" spans="1:9" ht="40.5" customHeight="1">
      <c r="A6" s="83" t="s">
        <v>75</v>
      </c>
      <c r="B6" s="83"/>
      <c r="C6" s="83"/>
      <c r="D6" s="7">
        <f>男女シングルス!C47+男女ダブルス!C47</f>
        <v>0</v>
      </c>
      <c r="E6" s="82" t="s">
        <v>76</v>
      </c>
      <c r="F6" s="82"/>
    </row>
    <row r="7" spans="1:9" ht="40.5" customHeight="1">
      <c r="A7" s="3"/>
      <c r="B7" s="4"/>
      <c r="C7" s="4"/>
      <c r="D7" s="4"/>
      <c r="E7" s="4"/>
      <c r="F7" s="4"/>
    </row>
    <row r="8" spans="1:9" ht="40.5" customHeight="1">
      <c r="A8" s="84"/>
      <c r="B8" s="84"/>
      <c r="C8" s="27"/>
      <c r="D8" s="80"/>
      <c r="E8" s="80"/>
      <c r="F8" s="80"/>
    </row>
    <row r="9" spans="1:9" ht="40.5" customHeight="1">
      <c r="A9" s="1"/>
      <c r="B9" s="2"/>
      <c r="C9" s="2"/>
      <c r="D9" s="80"/>
      <c r="E9" s="80"/>
      <c r="F9" s="80"/>
    </row>
  </sheetData>
  <sheetProtection sheet="1" selectLockedCells="1"/>
  <mergeCells count="7">
    <mergeCell ref="D9:F9"/>
    <mergeCell ref="A1:F2"/>
    <mergeCell ref="A4:B4"/>
    <mergeCell ref="A6:C6"/>
    <mergeCell ref="E6:F6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0" customWidth="1"/>
    <col min="2" max="2" width="9" style="10" bestFit="1" customWidth="1"/>
    <col min="3" max="3" width="13.265625" customWidth="1"/>
    <col min="4" max="5" width="15.59765625" customWidth="1"/>
    <col min="6" max="6" width="15.59765625" style="9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8" customFormat="1" ht="19.5" customHeight="1" thickBot="1">
      <c r="A1" s="85" t="s">
        <v>0</v>
      </c>
      <c r="B1" s="85"/>
      <c r="C1" s="85"/>
      <c r="D1" s="85" t="str">
        <f>団体名等入力!A3</f>
        <v>北海道選手権（カデットの部）地区予選会</v>
      </c>
      <c r="E1" s="85"/>
      <c r="F1" s="85"/>
    </row>
    <row r="2" spans="1:10" ht="19.5" customHeight="1" thickBot="1">
      <c r="A2" s="86" t="s">
        <v>2</v>
      </c>
      <c r="B2" s="87"/>
      <c r="C2" s="88"/>
      <c r="D2" s="88" t="str">
        <f>IF(団体名等入力!C3="","",団体名等入力!C3)</f>
        <v/>
      </c>
      <c r="E2" s="88"/>
      <c r="F2" s="89"/>
    </row>
    <row r="3" spans="1:10" ht="19.5" customHeight="1">
      <c r="A3" s="9"/>
      <c r="B3" s="9"/>
      <c r="C3" s="9"/>
      <c r="D3" s="10"/>
      <c r="E3" s="10"/>
    </row>
    <row r="4" spans="1:10" s="9" customFormat="1" ht="19.5" customHeight="1">
      <c r="A4" s="11"/>
      <c r="B4" s="11" t="s">
        <v>20</v>
      </c>
      <c r="C4" s="11" t="s">
        <v>10</v>
      </c>
      <c r="D4" s="11" t="s">
        <v>8</v>
      </c>
      <c r="E4" s="11" t="s">
        <v>9</v>
      </c>
      <c r="F4" s="11" t="s">
        <v>11</v>
      </c>
      <c r="G4" s="11" t="s">
        <v>12</v>
      </c>
      <c r="H4" s="11" t="s">
        <v>14</v>
      </c>
    </row>
    <row r="5" spans="1:10" ht="19.5" customHeight="1">
      <c r="A5" s="13">
        <v>1</v>
      </c>
      <c r="B5" s="14" t="s">
        <v>16</v>
      </c>
      <c r="C5" s="14" t="s">
        <v>39</v>
      </c>
      <c r="D5" s="15" t="s" ph="1">
        <v>25</v>
      </c>
      <c r="E5" s="16" t="s" ph="1">
        <v>26</v>
      </c>
      <c r="F5" s="15" t="s" ph="1">
        <v>30</v>
      </c>
      <c r="G5" s="15" t="s" ph="1">
        <v>31</v>
      </c>
      <c r="H5" s="14" t="s">
        <v>15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3">
        <v>2</v>
      </c>
      <c r="B6" s="14" t="s">
        <v>16</v>
      </c>
      <c r="C6" s="14" t="s">
        <v>40</v>
      </c>
      <c r="D6" s="16" t="s" ph="1">
        <v>32</v>
      </c>
      <c r="E6" s="16" t="s" ph="1">
        <v>33</v>
      </c>
      <c r="F6" s="16" t="s" ph="1">
        <v>34</v>
      </c>
      <c r="G6" s="16" t="s" ph="1">
        <v>23</v>
      </c>
      <c r="H6" s="14" t="s">
        <v>15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3">
        <v>3</v>
      </c>
      <c r="B7" s="14" t="s">
        <v>16</v>
      </c>
      <c r="C7" s="14" t="s">
        <v>41</v>
      </c>
      <c r="D7" s="16" t="s" ph="1">
        <v>21</v>
      </c>
      <c r="E7" s="16" t="s" ph="1">
        <v>22</v>
      </c>
      <c r="F7" s="16" t="s" ph="1">
        <v>23</v>
      </c>
      <c r="G7" s="16" ph="1"/>
      <c r="H7" s="14" t="s">
        <v>15</v>
      </c>
      <c r="I7">
        <f t="shared" si="0"/>
        <v>1500</v>
      </c>
      <c r="J7">
        <f t="shared" si="1"/>
        <v>1500</v>
      </c>
    </row>
    <row r="8" spans="1:10" ht="19.5" customHeight="1">
      <c r="A8" s="13">
        <v>4</v>
      </c>
      <c r="B8" s="14"/>
      <c r="C8" s="14"/>
      <c r="D8" s="16" ph="1"/>
      <c r="E8" s="16" ph="1"/>
      <c r="F8" s="16" ph="1"/>
      <c r="G8" s="16" ph="1"/>
      <c r="H8" s="14" t="s">
        <v>15</v>
      </c>
      <c r="I8">
        <f t="shared" si="0"/>
        <v>0</v>
      </c>
      <c r="J8">
        <f t="shared" si="1"/>
        <v>0</v>
      </c>
    </row>
    <row r="9" spans="1:10" ht="19.5" customHeight="1">
      <c r="A9" s="13">
        <v>5</v>
      </c>
      <c r="B9" s="14"/>
      <c r="C9" s="14"/>
      <c r="D9" s="16" ph="1"/>
      <c r="E9" s="14"/>
      <c r="F9" s="14"/>
      <c r="G9" s="17"/>
      <c r="H9" s="14" t="s">
        <v>15</v>
      </c>
      <c r="I9">
        <f t="shared" si="0"/>
        <v>0</v>
      </c>
      <c r="J9">
        <f t="shared" si="1"/>
        <v>0</v>
      </c>
    </row>
    <row r="10" spans="1:10" ht="19.5" customHeight="1">
      <c r="A10" s="13">
        <v>6</v>
      </c>
      <c r="B10" s="14"/>
      <c r="C10" s="14"/>
      <c r="D10" s="17" ph="1"/>
      <c r="E10" s="18"/>
      <c r="F10" s="14"/>
      <c r="G10" s="17"/>
      <c r="H10" s="14"/>
      <c r="I10">
        <f t="shared" si="0"/>
        <v>0</v>
      </c>
      <c r="J10">
        <f t="shared" si="1"/>
        <v>0</v>
      </c>
    </row>
    <row r="11" spans="1:10" ht="19.5" customHeight="1">
      <c r="A11" s="13">
        <v>7</v>
      </c>
      <c r="B11" s="14"/>
      <c r="C11" s="14"/>
      <c r="D11" s="17" ph="1"/>
      <c r="E11" s="18"/>
      <c r="F11" s="14"/>
      <c r="G11" s="17"/>
      <c r="H11" s="14"/>
      <c r="I11">
        <f t="shared" si="0"/>
        <v>0</v>
      </c>
      <c r="J11">
        <f t="shared" si="1"/>
        <v>0</v>
      </c>
    </row>
    <row r="12" spans="1:10" ht="19.5" customHeight="1">
      <c r="A12" s="13">
        <v>8</v>
      </c>
      <c r="B12" s="14"/>
      <c r="C12" s="14"/>
      <c r="D12" s="17" ph="1"/>
      <c r="E12" s="18"/>
      <c r="F12" s="14"/>
      <c r="G12" s="17"/>
      <c r="H12" s="14"/>
      <c r="I12">
        <f t="shared" si="0"/>
        <v>0</v>
      </c>
      <c r="J12">
        <f t="shared" si="1"/>
        <v>0</v>
      </c>
    </row>
    <row r="13" spans="1:10" ht="19.5" customHeight="1">
      <c r="A13" s="13">
        <v>9</v>
      </c>
      <c r="B13" s="14"/>
      <c r="C13" s="14"/>
      <c r="D13" s="17" ph="1"/>
      <c r="E13" s="18"/>
      <c r="F13" s="14"/>
      <c r="G13" s="17"/>
      <c r="H13" s="14"/>
      <c r="I13">
        <f t="shared" si="0"/>
        <v>0</v>
      </c>
      <c r="J13">
        <f t="shared" si="1"/>
        <v>0</v>
      </c>
    </row>
    <row r="14" spans="1:10" ht="19.5" customHeight="1">
      <c r="A14" s="13">
        <v>10</v>
      </c>
      <c r="B14" s="14"/>
      <c r="C14" s="14"/>
      <c r="D14" s="17" ph="1"/>
      <c r="E14" s="18"/>
      <c r="F14" s="14"/>
      <c r="G14" s="17"/>
      <c r="H14" s="14"/>
      <c r="I14">
        <f t="shared" si="0"/>
        <v>0</v>
      </c>
      <c r="J14">
        <f t="shared" si="1"/>
        <v>0</v>
      </c>
    </row>
    <row r="15" spans="1:10" ht="19.5" hidden="1" customHeight="1">
      <c r="A15" s="13">
        <v>11</v>
      </c>
      <c r="B15" s="14"/>
      <c r="C15" s="14"/>
      <c r="D15" s="17" ph="1"/>
      <c r="E15" s="18"/>
      <c r="F15" s="14"/>
      <c r="G15" s="17"/>
      <c r="H15" s="14"/>
      <c r="I15">
        <f t="shared" si="0"/>
        <v>0</v>
      </c>
      <c r="J15">
        <f t="shared" si="1"/>
        <v>0</v>
      </c>
    </row>
    <row r="16" spans="1:10" ht="19.5" hidden="1" customHeight="1">
      <c r="A16" s="13">
        <v>12</v>
      </c>
      <c r="B16" s="14"/>
      <c r="C16" s="14"/>
      <c r="D16" s="17" ph="1"/>
      <c r="E16" s="18"/>
      <c r="F16" s="14"/>
      <c r="G16" s="17"/>
      <c r="H16" s="14"/>
      <c r="I16">
        <f t="shared" si="0"/>
        <v>0</v>
      </c>
      <c r="J16">
        <f t="shared" si="1"/>
        <v>0</v>
      </c>
    </row>
    <row r="17" spans="1:10" ht="19.5" hidden="1" customHeight="1">
      <c r="A17" s="13">
        <v>13</v>
      </c>
      <c r="B17" s="14"/>
      <c r="C17" s="14"/>
      <c r="D17" s="17" ph="1"/>
      <c r="E17" s="18"/>
      <c r="F17" s="14"/>
      <c r="G17" s="17"/>
      <c r="H17" s="14"/>
      <c r="I17">
        <f t="shared" si="0"/>
        <v>0</v>
      </c>
      <c r="J17">
        <f t="shared" si="1"/>
        <v>0</v>
      </c>
    </row>
    <row r="18" spans="1:10" ht="19.5" hidden="1" customHeight="1">
      <c r="A18" s="13">
        <v>14</v>
      </c>
      <c r="B18" s="14"/>
      <c r="C18" s="14"/>
      <c r="D18" s="17"/>
      <c r="E18" s="18"/>
      <c r="F18" s="14"/>
      <c r="G18" s="17"/>
      <c r="H18" s="14"/>
      <c r="I18">
        <f t="shared" si="0"/>
        <v>0</v>
      </c>
      <c r="J18">
        <f t="shared" si="1"/>
        <v>0</v>
      </c>
    </row>
    <row r="19" spans="1:10" ht="19.5" hidden="1" customHeight="1">
      <c r="A19" s="13">
        <v>15</v>
      </c>
      <c r="B19" s="14"/>
      <c r="C19" s="14"/>
      <c r="D19" s="17"/>
      <c r="E19" s="18"/>
      <c r="F19" s="14"/>
      <c r="G19" s="17"/>
      <c r="H19" s="14"/>
      <c r="I19">
        <f t="shared" si="0"/>
        <v>0</v>
      </c>
      <c r="J19">
        <f t="shared" si="1"/>
        <v>0</v>
      </c>
    </row>
    <row r="20" spans="1:10" ht="19.5" hidden="1" customHeight="1">
      <c r="A20" s="13">
        <v>16</v>
      </c>
      <c r="B20" s="14"/>
      <c r="C20" s="14"/>
      <c r="D20" s="17"/>
      <c r="E20" s="18"/>
      <c r="F20" s="14"/>
      <c r="G20" s="17"/>
      <c r="H20" s="14"/>
      <c r="I20">
        <f t="shared" si="0"/>
        <v>0</v>
      </c>
      <c r="J20">
        <f t="shared" si="1"/>
        <v>0</v>
      </c>
    </row>
    <row r="21" spans="1:10" ht="19.5" hidden="1" customHeight="1">
      <c r="A21" s="13">
        <v>17</v>
      </c>
      <c r="B21" s="14"/>
      <c r="C21" s="14"/>
      <c r="D21" s="17"/>
      <c r="E21" s="18"/>
      <c r="F21" s="14"/>
      <c r="G21" s="17"/>
      <c r="H21" s="14"/>
      <c r="I21">
        <f t="shared" si="0"/>
        <v>0</v>
      </c>
      <c r="J21">
        <f t="shared" si="1"/>
        <v>0</v>
      </c>
    </row>
    <row r="22" spans="1:10" ht="19.5" hidden="1" customHeight="1">
      <c r="A22" s="13">
        <v>18</v>
      </c>
      <c r="B22" s="14"/>
      <c r="C22" s="14"/>
      <c r="D22" s="17"/>
      <c r="E22" s="18"/>
      <c r="F22" s="14"/>
      <c r="G22" s="17"/>
      <c r="H22" s="14"/>
      <c r="I22">
        <f t="shared" si="0"/>
        <v>0</v>
      </c>
      <c r="J22">
        <f t="shared" si="1"/>
        <v>0</v>
      </c>
    </row>
    <row r="23" spans="1:10" ht="19.5" hidden="1" customHeight="1">
      <c r="A23" s="13">
        <v>19</v>
      </c>
      <c r="B23" s="14"/>
      <c r="C23" s="14"/>
      <c r="D23" s="17"/>
      <c r="E23" s="18"/>
      <c r="F23" s="14"/>
      <c r="G23" s="17"/>
      <c r="H23" s="14"/>
      <c r="I23">
        <f t="shared" si="0"/>
        <v>0</v>
      </c>
      <c r="J23">
        <f t="shared" si="1"/>
        <v>0</v>
      </c>
    </row>
    <row r="24" spans="1:10" ht="19.5" hidden="1" customHeight="1">
      <c r="A24" s="13">
        <v>20</v>
      </c>
      <c r="B24" s="14"/>
      <c r="C24" s="14"/>
      <c r="D24" s="17"/>
      <c r="E24" s="18"/>
      <c r="F24" s="14"/>
      <c r="G24" s="17"/>
      <c r="H24" s="14"/>
      <c r="I24">
        <f t="shared" si="0"/>
        <v>0</v>
      </c>
      <c r="J24">
        <f t="shared" si="1"/>
        <v>0</v>
      </c>
    </row>
    <row r="26" spans="1:10" ht="19.5" customHeight="1" thickBot="1">
      <c r="F26" s="19" t="s">
        <v>13</v>
      </c>
      <c r="G26" s="23">
        <f>COUNTA(C5:C24)</f>
        <v>3</v>
      </c>
    </row>
    <row r="27" spans="1:10" ht="19.5" customHeight="1" thickBot="1">
      <c r="F27" s="21" t="s">
        <v>3</v>
      </c>
      <c r="G27" s="22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700-000000000000}">
      <formula1>"一般,大学,高校,中学,小学,　,"</formula1>
    </dataValidation>
    <dataValidation type="list" allowBlank="1" showInputMessage="1" showErrorMessage="1" sqref="H5:H24" xr:uid="{00000000-0002-0000-07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0" customWidth="1"/>
    <col min="2" max="2" width="13.265625" customWidth="1"/>
    <col min="3" max="4" width="23.59765625" customWidth="1"/>
    <col min="5" max="5" width="13.59765625" style="9" customWidth="1"/>
    <col min="6" max="8" width="11.46484375" hidden="1" customWidth="1"/>
  </cols>
  <sheetData>
    <row r="1" spans="1:8" s="8" customFormat="1" ht="19.5" customHeight="1">
      <c r="A1" s="90" t="s">
        <v>0</v>
      </c>
      <c r="B1" s="90"/>
      <c r="C1" s="90" t="str">
        <f>団体名等入力!A3</f>
        <v>北海道選手権（カデットの部）地区予選会</v>
      </c>
      <c r="D1" s="90"/>
      <c r="E1" s="90"/>
      <c r="F1" s="26"/>
    </row>
    <row r="2" spans="1:8" ht="19.5" customHeight="1">
      <c r="A2" s="90" t="s">
        <v>2</v>
      </c>
      <c r="B2" s="90"/>
      <c r="C2" s="90" t="str">
        <f>IF(団体名等入力!B3="","",団体名等入力!B3)</f>
        <v/>
      </c>
      <c r="D2" s="90"/>
      <c r="E2" s="90"/>
      <c r="F2" s="26"/>
    </row>
    <row r="3" spans="1:8" ht="19.5" customHeight="1">
      <c r="A3" s="9"/>
      <c r="B3" s="9"/>
      <c r="C3" s="10"/>
      <c r="D3" s="10"/>
    </row>
    <row r="4" spans="1:8" s="9" customFormat="1" ht="33.75" customHeight="1">
      <c r="A4" s="11"/>
      <c r="B4" s="11" t="s">
        <v>18</v>
      </c>
      <c r="C4" s="11" t="s">
        <v>1</v>
      </c>
      <c r="D4" s="11" t="s">
        <v>2</v>
      </c>
      <c r="E4" s="12" t="s">
        <v>19</v>
      </c>
      <c r="F4" s="11" t="s">
        <v>14</v>
      </c>
    </row>
    <row r="5" spans="1:8" ht="19.5" customHeight="1">
      <c r="A5" s="13">
        <v>1</v>
      </c>
      <c r="B5" s="14" t="s">
        <v>5</v>
      </c>
      <c r="C5" s="15" t="s" ph="1">
        <v>25</v>
      </c>
      <c r="D5" s="14" t="s">
        <v>4</v>
      </c>
      <c r="E5" s="25" t="s">
        <v>35</v>
      </c>
      <c r="F5" s="14" t="s">
        <v>15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3">
        <v>2</v>
      </c>
      <c r="B6" s="14" t="s">
        <v>5</v>
      </c>
      <c r="C6" s="16" t="s" ph="1">
        <v>26</v>
      </c>
      <c r="D6" s="14" t="s">
        <v>4</v>
      </c>
      <c r="E6" s="25" t="s">
        <v>36</v>
      </c>
      <c r="F6" s="14" t="s">
        <v>15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3">
        <v>3</v>
      </c>
      <c r="B7" s="14" t="s">
        <v>5</v>
      </c>
      <c r="C7" s="16" t="s" ph="1">
        <v>27</v>
      </c>
      <c r="D7" s="14" t="s">
        <v>4</v>
      </c>
      <c r="E7" s="25" t="s">
        <v>38</v>
      </c>
      <c r="F7" s="14" t="s">
        <v>15</v>
      </c>
      <c r="G7">
        <f t="shared" si="0"/>
        <v>700</v>
      </c>
      <c r="H7">
        <f t="shared" si="1"/>
        <v>700</v>
      </c>
    </row>
    <row r="8" spans="1:8" ht="19.5" customHeight="1">
      <c r="A8" s="13">
        <v>4</v>
      </c>
      <c r="B8" s="14" t="s">
        <v>6</v>
      </c>
      <c r="C8" s="16" t="s" ph="1">
        <v>28</v>
      </c>
      <c r="D8" s="14" t="s">
        <v>4</v>
      </c>
      <c r="E8" s="25" t="s">
        <v>37</v>
      </c>
      <c r="F8" s="14" t="s">
        <v>15</v>
      </c>
      <c r="G8">
        <f t="shared" si="0"/>
        <v>500</v>
      </c>
      <c r="H8">
        <f t="shared" si="1"/>
        <v>500</v>
      </c>
    </row>
    <row r="9" spans="1:8" ht="19.5" customHeight="1">
      <c r="A9" s="13">
        <v>5</v>
      </c>
      <c r="B9" s="14" t="s">
        <v>16</v>
      </c>
      <c r="C9" s="16" t="s" ph="1">
        <v>29</v>
      </c>
      <c r="D9" s="14" t="s">
        <v>17</v>
      </c>
      <c r="E9" s="25" t="s">
        <v>16</v>
      </c>
      <c r="F9" s="14" t="s">
        <v>15</v>
      </c>
      <c r="G9">
        <f t="shared" si="0"/>
        <v>500</v>
      </c>
      <c r="H9">
        <f t="shared" si="1"/>
        <v>500</v>
      </c>
    </row>
    <row r="10" spans="1:8" ht="19.5" customHeight="1">
      <c r="A10" s="13">
        <v>6</v>
      </c>
      <c r="B10" s="14"/>
      <c r="C10" s="16" ph="1"/>
      <c r="D10" s="14"/>
      <c r="E10" s="25" t="s">
        <v>15</v>
      </c>
      <c r="F10" s="14"/>
      <c r="G10">
        <f t="shared" si="0"/>
        <v>0</v>
      </c>
      <c r="H10">
        <f t="shared" si="1"/>
        <v>0</v>
      </c>
    </row>
    <row r="11" spans="1:8" ht="19.5" customHeight="1">
      <c r="A11" s="13">
        <v>7</v>
      </c>
      <c r="B11" s="14"/>
      <c r="C11" s="16" ph="1"/>
      <c r="D11" s="14"/>
      <c r="E11" s="25" t="s">
        <v>15</v>
      </c>
      <c r="F11" s="14"/>
      <c r="G11">
        <f t="shared" si="0"/>
        <v>0</v>
      </c>
      <c r="H11">
        <f t="shared" si="1"/>
        <v>0</v>
      </c>
    </row>
    <row r="12" spans="1:8" ht="19.5" customHeight="1">
      <c r="A12" s="13">
        <v>8</v>
      </c>
      <c r="B12" s="14"/>
      <c r="C12" s="16" ph="1"/>
      <c r="D12" s="14"/>
      <c r="E12" s="25" t="s">
        <v>15</v>
      </c>
      <c r="F12" s="14"/>
      <c r="G12">
        <f t="shared" si="0"/>
        <v>0</v>
      </c>
      <c r="H12">
        <f t="shared" si="1"/>
        <v>0</v>
      </c>
    </row>
    <row r="13" spans="1:8" ht="19.5" customHeight="1">
      <c r="A13" s="13">
        <v>9</v>
      </c>
      <c r="B13" s="14"/>
      <c r="C13" s="16" ph="1"/>
      <c r="D13" s="14"/>
      <c r="E13" s="25" t="s">
        <v>15</v>
      </c>
      <c r="F13" s="14"/>
      <c r="G13">
        <f t="shared" si="0"/>
        <v>0</v>
      </c>
      <c r="H13">
        <f t="shared" si="1"/>
        <v>0</v>
      </c>
    </row>
    <row r="14" spans="1:8" ht="19.5" customHeight="1">
      <c r="A14" s="13">
        <v>10</v>
      </c>
      <c r="B14" s="14"/>
      <c r="C14" s="16" ph="1"/>
      <c r="D14" s="14"/>
      <c r="E14" s="25" t="s">
        <v>15</v>
      </c>
      <c r="F14" s="14"/>
      <c r="G14">
        <f t="shared" si="0"/>
        <v>0</v>
      </c>
      <c r="H14">
        <f t="shared" si="1"/>
        <v>0</v>
      </c>
    </row>
    <row r="15" spans="1:8" ht="19.5" hidden="1" customHeight="1">
      <c r="A15" s="13">
        <v>11</v>
      </c>
      <c r="B15" s="14"/>
      <c r="C15" s="16" ph="1"/>
      <c r="D15" s="14"/>
      <c r="E15" s="25" t="s">
        <v>15</v>
      </c>
      <c r="F15" s="14"/>
      <c r="G15">
        <f t="shared" si="0"/>
        <v>0</v>
      </c>
      <c r="H15">
        <f t="shared" si="1"/>
        <v>0</v>
      </c>
    </row>
    <row r="16" spans="1:8" ht="19.5" hidden="1" customHeight="1">
      <c r="A16" s="13">
        <v>12</v>
      </c>
      <c r="B16" s="14"/>
      <c r="C16" s="16" ph="1"/>
      <c r="D16" s="14"/>
      <c r="E16" s="25" t="s">
        <v>15</v>
      </c>
      <c r="F16" s="14"/>
      <c r="G16">
        <f t="shared" si="0"/>
        <v>0</v>
      </c>
      <c r="H16">
        <f t="shared" si="1"/>
        <v>0</v>
      </c>
    </row>
    <row r="17" spans="1:8" ht="19.5" hidden="1" customHeight="1">
      <c r="A17" s="13">
        <v>13</v>
      </c>
      <c r="B17" s="14"/>
      <c r="C17" s="16" ph="1"/>
      <c r="D17" s="14"/>
      <c r="E17" s="25" t="s">
        <v>15</v>
      </c>
      <c r="F17" s="14"/>
      <c r="G17">
        <f t="shared" si="0"/>
        <v>0</v>
      </c>
      <c r="H17">
        <f t="shared" si="1"/>
        <v>0</v>
      </c>
    </row>
    <row r="18" spans="1:8" ht="19.5" hidden="1" customHeight="1">
      <c r="A18" s="13">
        <v>14</v>
      </c>
      <c r="B18" s="14"/>
      <c r="C18" s="16" ph="1"/>
      <c r="D18" s="14"/>
      <c r="E18" s="25" t="s">
        <v>15</v>
      </c>
      <c r="F18" s="14"/>
      <c r="G18">
        <f t="shared" si="0"/>
        <v>0</v>
      </c>
      <c r="H18">
        <f t="shared" si="1"/>
        <v>0</v>
      </c>
    </row>
    <row r="19" spans="1:8" ht="19.5" hidden="1" customHeight="1">
      <c r="A19" s="13">
        <v>15</v>
      </c>
      <c r="B19" s="14"/>
      <c r="C19" s="16" ph="1"/>
      <c r="D19" s="14"/>
      <c r="E19" s="25" t="s">
        <v>15</v>
      </c>
      <c r="F19" s="14"/>
      <c r="G19">
        <f t="shared" si="0"/>
        <v>0</v>
      </c>
      <c r="H19">
        <f t="shared" si="1"/>
        <v>0</v>
      </c>
    </row>
    <row r="20" spans="1:8" ht="19.5" hidden="1" customHeight="1">
      <c r="A20" s="13">
        <v>16</v>
      </c>
      <c r="B20" s="14"/>
      <c r="C20" s="17"/>
      <c r="D20" s="18"/>
      <c r="E20" s="25" t="s">
        <v>15</v>
      </c>
      <c r="F20" s="14"/>
      <c r="G20">
        <f t="shared" si="0"/>
        <v>0</v>
      </c>
      <c r="H20">
        <f t="shared" si="1"/>
        <v>0</v>
      </c>
    </row>
    <row r="21" spans="1:8" ht="19.5" hidden="1" customHeight="1">
      <c r="A21" s="13">
        <v>17</v>
      </c>
      <c r="B21" s="14" t="s">
        <v>15</v>
      </c>
      <c r="C21" s="17"/>
      <c r="D21" s="18"/>
      <c r="E21" s="25" t="s">
        <v>15</v>
      </c>
      <c r="F21" s="14"/>
      <c r="G21">
        <f t="shared" si="0"/>
        <v>0</v>
      </c>
      <c r="H21">
        <f t="shared" si="1"/>
        <v>0</v>
      </c>
    </row>
    <row r="22" spans="1:8" ht="19.5" hidden="1" customHeight="1">
      <c r="A22" s="13">
        <v>18</v>
      </c>
      <c r="B22" s="14" t="s">
        <v>15</v>
      </c>
      <c r="C22" s="17"/>
      <c r="D22" s="18"/>
      <c r="E22" s="25" t="s">
        <v>15</v>
      </c>
      <c r="F22" s="14"/>
      <c r="G22">
        <f t="shared" si="0"/>
        <v>0</v>
      </c>
      <c r="H22">
        <f t="shared" si="1"/>
        <v>0</v>
      </c>
    </row>
    <row r="23" spans="1:8" ht="19.5" hidden="1" customHeight="1">
      <c r="A23" s="13">
        <v>19</v>
      </c>
      <c r="B23" s="14" t="s">
        <v>15</v>
      </c>
      <c r="C23" s="17"/>
      <c r="D23" s="18"/>
      <c r="E23" s="25" t="s">
        <v>15</v>
      </c>
      <c r="F23" s="14"/>
      <c r="G23">
        <f t="shared" si="0"/>
        <v>0</v>
      </c>
      <c r="H23">
        <f t="shared" si="1"/>
        <v>0</v>
      </c>
    </row>
    <row r="24" spans="1:8" ht="19.5" hidden="1" customHeight="1">
      <c r="A24" s="13">
        <v>20</v>
      </c>
      <c r="B24" s="14"/>
      <c r="C24" s="16" ph="1"/>
      <c r="D24" s="14"/>
      <c r="E24" s="25" t="s">
        <v>15</v>
      </c>
      <c r="F24" s="14"/>
      <c r="G24">
        <f t="shared" si="0"/>
        <v>0</v>
      </c>
      <c r="H24">
        <f t="shared" si="1"/>
        <v>0</v>
      </c>
    </row>
    <row r="25" spans="1:8" ht="19.5" hidden="1" customHeight="1">
      <c r="A25" s="13">
        <v>21</v>
      </c>
      <c r="B25" s="14"/>
      <c r="C25" s="16" ph="1"/>
      <c r="D25" s="14"/>
      <c r="E25" s="25" t="s">
        <v>15</v>
      </c>
      <c r="F25" s="14"/>
      <c r="G25">
        <f t="shared" si="0"/>
        <v>0</v>
      </c>
      <c r="H25">
        <f t="shared" si="1"/>
        <v>0</v>
      </c>
    </row>
    <row r="26" spans="1:8" ht="19.5" hidden="1" customHeight="1">
      <c r="A26" s="13">
        <v>22</v>
      </c>
      <c r="B26" s="14"/>
      <c r="C26" s="16" ph="1"/>
      <c r="D26" s="14"/>
      <c r="E26" s="25" t="s">
        <v>15</v>
      </c>
      <c r="F26" s="14"/>
      <c r="G26">
        <f t="shared" si="0"/>
        <v>0</v>
      </c>
      <c r="H26">
        <f t="shared" si="1"/>
        <v>0</v>
      </c>
    </row>
    <row r="27" spans="1:8" ht="19.5" hidden="1" customHeight="1">
      <c r="A27" s="13">
        <v>23</v>
      </c>
      <c r="B27" s="14"/>
      <c r="C27" s="16" ph="1"/>
      <c r="D27" s="14"/>
      <c r="E27" s="25" t="s">
        <v>15</v>
      </c>
      <c r="F27" s="14"/>
      <c r="G27">
        <f t="shared" si="0"/>
        <v>0</v>
      </c>
      <c r="H27">
        <f t="shared" si="1"/>
        <v>0</v>
      </c>
    </row>
    <row r="28" spans="1:8" ht="19.5" hidden="1" customHeight="1">
      <c r="A28" s="13">
        <v>24</v>
      </c>
      <c r="B28" s="14"/>
      <c r="C28" s="16" ph="1"/>
      <c r="D28" s="14"/>
      <c r="E28" s="25" t="s">
        <v>15</v>
      </c>
      <c r="F28" s="14"/>
      <c r="G28">
        <f t="shared" si="0"/>
        <v>0</v>
      </c>
      <c r="H28">
        <f t="shared" si="1"/>
        <v>0</v>
      </c>
    </row>
    <row r="29" spans="1:8" ht="19.5" hidden="1" customHeight="1">
      <c r="A29" s="13">
        <v>25</v>
      </c>
      <c r="B29" s="14"/>
      <c r="C29" s="16" ph="1"/>
      <c r="D29" s="14"/>
      <c r="E29" s="25" t="s">
        <v>15</v>
      </c>
      <c r="F29" s="14"/>
      <c r="G29">
        <f t="shared" si="0"/>
        <v>0</v>
      </c>
      <c r="H29">
        <f t="shared" si="1"/>
        <v>0</v>
      </c>
    </row>
    <row r="30" spans="1:8" ht="19.5" hidden="1" customHeight="1">
      <c r="A30" s="13">
        <v>26</v>
      </c>
      <c r="B30" s="14"/>
      <c r="C30" s="16" ph="1"/>
      <c r="D30" s="14"/>
      <c r="E30" s="25" t="s">
        <v>15</v>
      </c>
      <c r="F30" s="14"/>
      <c r="G30">
        <f t="shared" si="0"/>
        <v>0</v>
      </c>
      <c r="H30">
        <f t="shared" si="1"/>
        <v>0</v>
      </c>
    </row>
    <row r="31" spans="1:8" ht="19.5" hidden="1" customHeight="1">
      <c r="A31" s="13">
        <v>27</v>
      </c>
      <c r="B31" s="14"/>
      <c r="C31" s="16" ph="1"/>
      <c r="D31" s="14"/>
      <c r="E31" s="25" t="s">
        <v>15</v>
      </c>
      <c r="F31" s="14"/>
      <c r="G31">
        <f t="shared" si="0"/>
        <v>0</v>
      </c>
      <c r="H31">
        <f t="shared" si="1"/>
        <v>0</v>
      </c>
    </row>
    <row r="32" spans="1:8" ht="19.5" hidden="1" customHeight="1">
      <c r="A32" s="13">
        <v>28</v>
      </c>
      <c r="B32" s="14"/>
      <c r="C32" s="16" ph="1"/>
      <c r="D32" s="14"/>
      <c r="E32" s="25" t="s">
        <v>15</v>
      </c>
      <c r="F32" s="14"/>
      <c r="G32">
        <f t="shared" si="0"/>
        <v>0</v>
      </c>
      <c r="H32">
        <f t="shared" si="1"/>
        <v>0</v>
      </c>
    </row>
    <row r="33" spans="1:8" ht="19.5" hidden="1" customHeight="1">
      <c r="A33" s="13">
        <v>29</v>
      </c>
      <c r="B33" s="14"/>
      <c r="C33" s="16" ph="1"/>
      <c r="D33" s="14"/>
      <c r="E33" s="25" t="s">
        <v>15</v>
      </c>
      <c r="F33" s="14"/>
      <c r="G33">
        <f t="shared" si="0"/>
        <v>0</v>
      </c>
      <c r="H33">
        <f t="shared" si="1"/>
        <v>0</v>
      </c>
    </row>
    <row r="34" spans="1:8" ht="19.5" hidden="1" customHeight="1">
      <c r="A34" s="13">
        <v>30</v>
      </c>
      <c r="B34" s="14"/>
      <c r="C34" s="16" ph="1"/>
      <c r="D34" s="14"/>
      <c r="E34" s="25" t="s">
        <v>15</v>
      </c>
      <c r="F34" s="14"/>
      <c r="G34">
        <f t="shared" si="0"/>
        <v>0</v>
      </c>
      <c r="H34">
        <f t="shared" si="1"/>
        <v>0</v>
      </c>
    </row>
    <row r="35" spans="1:8" ht="19.5" hidden="1" customHeight="1">
      <c r="A35" s="13">
        <v>31</v>
      </c>
      <c r="B35" s="14"/>
      <c r="C35" s="16" ph="1"/>
      <c r="D35" s="14"/>
      <c r="E35" s="25" t="s">
        <v>15</v>
      </c>
      <c r="F35" s="14"/>
      <c r="G35">
        <f t="shared" si="0"/>
        <v>0</v>
      </c>
      <c r="H35">
        <f t="shared" si="1"/>
        <v>0</v>
      </c>
    </row>
    <row r="36" spans="1:8" ht="19.5" hidden="1" customHeight="1">
      <c r="A36" s="13">
        <v>32</v>
      </c>
      <c r="B36" s="14"/>
      <c r="C36" s="16" ph="1"/>
      <c r="D36" s="14"/>
      <c r="E36" s="25" t="s">
        <v>15</v>
      </c>
      <c r="F36" s="14"/>
      <c r="G36">
        <f t="shared" si="0"/>
        <v>0</v>
      </c>
      <c r="H36">
        <f t="shared" si="1"/>
        <v>0</v>
      </c>
    </row>
    <row r="37" spans="1:8" ht="19.5" hidden="1" customHeight="1">
      <c r="A37" s="13">
        <v>33</v>
      </c>
      <c r="B37" s="14"/>
      <c r="C37" s="16" ph="1"/>
      <c r="D37" s="14"/>
      <c r="E37" s="25" t="s">
        <v>15</v>
      </c>
      <c r="F37" s="14"/>
      <c r="G37">
        <f t="shared" si="0"/>
        <v>0</v>
      </c>
      <c r="H37">
        <f t="shared" si="1"/>
        <v>0</v>
      </c>
    </row>
    <row r="38" spans="1:8" ht="19.5" hidden="1" customHeight="1">
      <c r="A38" s="13">
        <v>34</v>
      </c>
      <c r="B38" s="14"/>
      <c r="C38" s="16" ph="1"/>
      <c r="D38" s="14"/>
      <c r="E38" s="25" t="s">
        <v>15</v>
      </c>
      <c r="F38" s="14"/>
      <c r="G38">
        <f t="shared" si="0"/>
        <v>0</v>
      </c>
      <c r="H38">
        <f t="shared" si="1"/>
        <v>0</v>
      </c>
    </row>
    <row r="39" spans="1:8" ht="19.5" hidden="1" customHeight="1">
      <c r="A39" s="13">
        <v>35</v>
      </c>
      <c r="B39" s="14"/>
      <c r="C39" s="16" ph="1"/>
      <c r="D39" s="14"/>
      <c r="E39" s="25" t="s">
        <v>15</v>
      </c>
      <c r="F39" s="14"/>
      <c r="G39">
        <f t="shared" si="0"/>
        <v>0</v>
      </c>
      <c r="H39">
        <f t="shared" si="1"/>
        <v>0</v>
      </c>
    </row>
    <row r="40" spans="1:8" ht="19.5" hidden="1" customHeight="1">
      <c r="A40" s="13">
        <v>36</v>
      </c>
      <c r="B40" s="14"/>
      <c r="C40" s="17"/>
      <c r="D40" s="18"/>
      <c r="E40" s="25" t="s">
        <v>15</v>
      </c>
      <c r="F40" s="14"/>
      <c r="G40">
        <f t="shared" si="0"/>
        <v>0</v>
      </c>
      <c r="H40">
        <f t="shared" si="1"/>
        <v>0</v>
      </c>
    </row>
    <row r="41" spans="1:8" ht="19.5" hidden="1" customHeight="1">
      <c r="A41" s="13">
        <v>37</v>
      </c>
      <c r="B41" s="14" t="s">
        <v>15</v>
      </c>
      <c r="C41" s="17"/>
      <c r="D41" s="18"/>
      <c r="E41" s="25" t="s">
        <v>15</v>
      </c>
      <c r="F41" s="14"/>
      <c r="G41">
        <f t="shared" si="0"/>
        <v>0</v>
      </c>
      <c r="H41">
        <f t="shared" si="1"/>
        <v>0</v>
      </c>
    </row>
    <row r="42" spans="1:8" ht="19.5" hidden="1" customHeight="1">
      <c r="A42" s="13">
        <v>38</v>
      </c>
      <c r="B42" s="14" t="s">
        <v>15</v>
      </c>
      <c r="C42" s="17"/>
      <c r="D42" s="18"/>
      <c r="E42" s="25" t="s">
        <v>15</v>
      </c>
      <c r="F42" s="14"/>
      <c r="G42">
        <f t="shared" si="0"/>
        <v>0</v>
      </c>
      <c r="H42">
        <f t="shared" si="1"/>
        <v>0</v>
      </c>
    </row>
    <row r="43" spans="1:8" ht="19.5" hidden="1" customHeight="1">
      <c r="A43" s="13">
        <v>39</v>
      </c>
      <c r="B43" s="14" t="s">
        <v>15</v>
      </c>
      <c r="C43" s="17"/>
      <c r="D43" s="18"/>
      <c r="E43" s="25" t="s">
        <v>15</v>
      </c>
      <c r="F43" s="14"/>
      <c r="G43">
        <f t="shared" si="0"/>
        <v>0</v>
      </c>
      <c r="H43">
        <f t="shared" si="1"/>
        <v>0</v>
      </c>
    </row>
    <row r="44" spans="1:8" ht="19.5" hidden="1" customHeight="1">
      <c r="A44" s="13">
        <v>40</v>
      </c>
      <c r="B44" s="14" t="s">
        <v>15</v>
      </c>
      <c r="C44" s="17"/>
      <c r="D44" s="18"/>
      <c r="E44" s="25" t="s">
        <v>15</v>
      </c>
      <c r="F44" s="14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19" t="s">
        <v>7</v>
      </c>
      <c r="E46" s="20">
        <f>COUNTA(C5:C44)</f>
        <v>5</v>
      </c>
    </row>
    <row r="47" spans="1:8" ht="19.5" customHeight="1" thickBot="1">
      <c r="D47" s="21" t="s">
        <v>3</v>
      </c>
      <c r="E47" s="22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800-000000000000}">
      <formula1>"登録,未登録,　,"</formula1>
    </dataValidation>
    <dataValidation type="list" allowBlank="1" showInputMessage="1" showErrorMessage="1" sqref="B5:B44" xr:uid="{00000000-0002-0000-0800-000001000000}">
      <formula1>"一般,大学,高校,中学,小学,　,"</formula1>
    </dataValidation>
    <dataValidation type="list" allowBlank="1" showInputMessage="1" showErrorMessage="1" sqref="E5:E44" xr:uid="{00000000-0002-0000-08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団体名等入力</vt:lpstr>
      <vt:lpstr>男女シングルス</vt:lpstr>
      <vt:lpstr>男女ダブルス</vt:lpstr>
      <vt:lpstr>合計金額</vt:lpstr>
      <vt:lpstr>団体 (記載例)</vt:lpstr>
      <vt:lpstr>シングルス (記載例)</vt:lpstr>
      <vt:lpstr>合計金額!Print_Area</vt:lpstr>
      <vt:lpstr>団体名等入力!Print_Area</vt:lpstr>
      <vt:lpstr>男女シングルス!Print_Area</vt:lpstr>
      <vt:lpstr>男女ダブルス!Print_Area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2025-06-12T15:21:03Z</dcterms:modified>
</cp:coreProperties>
</file>