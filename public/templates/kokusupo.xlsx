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115" documentId="13_ncr:1_{049BB01E-33F4-47D4-9AAE-45B7796587E8}" xr6:coauthVersionLast="47" xr6:coauthVersionMax="47" xr10:uidLastSave="{76BF2ECF-49BE-4AFB-8013-32F48538B5FA}"/>
  <bookViews>
    <workbookView xWindow="1335" yWindow="225" windowWidth="19575" windowHeight="13665" tabRatio="753" xr2:uid="{00000000-000D-0000-FFFF-FFFF00000000}"/>
  </bookViews>
  <sheets>
    <sheet name="団体名等入力" sheetId="3" r:id="rId1"/>
    <sheet name="男女シングルス" sheetId="15" r:id="rId2"/>
    <sheet name="団体 (記載例)" sheetId="6" state="hidden" r:id="rId3"/>
    <sheet name="シングルス (記載例)" sheetId="7" state="hidden" r:id="rId4"/>
    <sheet name="合計金額" sheetId="16" r:id="rId5"/>
    <sheet name="Sheet1" sheetId="13" state="hidden" r:id="rId6"/>
  </sheets>
  <definedNames>
    <definedName name="_xlnm._FilterDatabase" localSheetId="3" hidden="1">'シングルス (記載例)'!$A$4:$H$47</definedName>
    <definedName name="_xlnm._FilterDatabase" localSheetId="1" hidden="1">男女シングルス!$A$4:$J$17</definedName>
    <definedName name="_xlnm.Print_Area" localSheetId="4">合計金額!$A$1:$F$9</definedName>
    <definedName name="_xlnm.Print_Area" localSheetId="0">団体名等入力!$A$1:$D$4</definedName>
    <definedName name="_xlnm.Print_Area" localSheetId="1">男女シングルス!$A$1:$F$48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6" l="1"/>
  <c r="C1" i="15"/>
  <c r="C2" i="15"/>
  <c r="A6" i="15" l="1"/>
  <c r="A5" i="15"/>
  <c r="A7" i="15" l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I9" i="15" l="1"/>
  <c r="K9" i="15" s="1"/>
  <c r="I10" i="15"/>
  <c r="K10" i="15" s="1"/>
  <c r="K7" i="15"/>
  <c r="C47" i="15" s="1"/>
  <c r="D6" i="16" s="1"/>
  <c r="I7" i="15"/>
  <c r="C46" i="15" s="1"/>
  <c r="C2" i="7" l="1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4" authorId="0" shapeId="0" xr:uid="{E89D54ED-FE62-4820-B196-7C8C8285B92C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<sst xmlns="http://schemas.openxmlformats.org/spreadsheetml/2006/main" count="176" uniqueCount="60">
  <si>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</si>
  <si>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</si>
  <si>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</si>
  <si>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</si>
  <si>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</si>
  <si>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</si>
  <si>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</si>
  <si>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</si>
  <si>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</si>
  <si>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</si>
  <si>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</si>
  <si>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</si>
  <si>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</si>
  <si>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</si>
  <si>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</si>
  <si>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</si>
  <si>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</si>
  <si>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</si>
  <si>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</si>
  <si>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</si>
  <si>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</si>
  <si>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</si>
  <si>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</si>
  <si>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</si>
  <si>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</si>
  <si>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</si>
  <si>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</si>
  <si>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</si>
  <si>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</si>
  <si>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</si>
  <si>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</si>
  <si>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</si>
  <si>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</si>
  <si>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</si>
  <si>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</si>
  <si>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</si>
  <si>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</si>
  <si>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</si>
  <si>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</si>
  <si>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</si>
  <si>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</si>
  <si>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</si>
  <si>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申込責任者</t>
    <rPh sb="0" eb="2">
      <t>モウシコミ</t>
    </rPh>
    <rPh sb="2" eb="5">
      <t>セキニンシャ</t>
    </rPh>
    <phoneticPr fontId="1"/>
  </si>
  <si>
    <t>≪参加料は、大会当日の開会式前(午前8時15分～8時40分の間)に受付（進行席）でお支払いください。≫</t>
    <rPh sb="36" eb="39">
      <t>シンコウセキ</t>
    </rPh>
    <phoneticPr fontId="1"/>
  </si>
  <si>
    <t>シングルス（男子・女子）</t>
    <rPh sb="6" eb="8">
      <t>ダンシ</t>
    </rPh>
    <rPh sb="9" eb="11">
      <t>ジョシ</t>
    </rPh>
    <phoneticPr fontId="1"/>
  </si>
  <si>
    <t>種目</t>
    <rPh sb="0" eb="2">
      <t>シュモク</t>
    </rPh>
    <phoneticPr fontId="1"/>
  </si>
  <si>
    <t>備考</t>
    <rPh sb="0" eb="2">
      <t>ビコウ</t>
    </rPh>
    <phoneticPr fontId="16"/>
  </si>
  <si>
    <t>申込数合計</t>
    <rPh sb="0" eb="2">
      <t>モウシコミ</t>
    </rPh>
    <rPh sb="2" eb="3">
      <t>スウ</t>
    </rPh>
    <rPh sb="3" eb="5">
      <t>ゴウケイ</t>
    </rPh>
    <phoneticPr fontId="16"/>
  </si>
  <si>
    <t>金額合計</t>
    <rPh sb="0" eb="4">
      <t>キンガクゴウケイ</t>
    </rPh>
    <phoneticPr fontId="16"/>
  </si>
  <si>
    <t>申込区分</t>
    <rPh sb="0" eb="2">
      <t>モウシコミ</t>
    </rPh>
    <rPh sb="2" eb="4">
      <t>クブン</t>
    </rPh>
    <phoneticPr fontId="16"/>
  </si>
  <si>
    <t>申込数</t>
    <rPh sb="0" eb="2">
      <t>モウシコミ</t>
    </rPh>
    <rPh sb="2" eb="3">
      <t>スウ</t>
    </rPh>
    <phoneticPr fontId="16"/>
  </si>
  <si>
    <t>金額</t>
    <rPh sb="0" eb="2">
      <t>キンガク</t>
    </rPh>
    <phoneticPr fontId="16"/>
  </si>
  <si>
    <t>計</t>
    <rPh sb="0" eb="1">
      <t>ケイ</t>
    </rPh>
    <phoneticPr fontId="16"/>
  </si>
  <si>
    <t>学年</t>
    <rPh sb="0" eb="2">
      <t>ガクネン</t>
    </rPh>
    <phoneticPr fontId="16"/>
  </si>
  <si>
    <t>です。</t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</si>
  <si>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</si>
  <si>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合計金額</t>
    <rPh sb="0" eb="2">
      <t>ゴウケイ</t>
    </rPh>
    <rPh sb="2" eb="4">
      <t>キンガク</t>
    </rPh>
    <phoneticPr fontId="1"/>
  </si>
  <si>
    <t>国スポ（少年の部）釧路地区予選</t>
    <rPh sb="0" eb="1">
      <t>クニ</t>
    </rPh>
    <rPh sb="4" eb="6">
      <t>ショウネン</t>
    </rPh>
    <rPh sb="7" eb="8">
      <t>ブ</t>
    </rPh>
    <rPh sb="9" eb="11">
      <t>クシロ</t>
    </rPh>
    <rPh sb="11" eb="13">
      <t>チク</t>
    </rPh>
    <rPh sb="13" eb="15">
      <t>ヨセン</t>
    </rPh>
    <phoneticPr fontId="1"/>
  </si>
  <si>
    <t>男子</t>
    <rPh sb="0" eb="2">
      <t>ダンシ</t>
    </rPh>
    <phoneticPr fontId="16"/>
  </si>
  <si>
    <t>女子</t>
    <rPh sb="0" eb="2">
      <t>ジョシ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</si>
</sst>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3" fillId="0" borderId="0" applyFont="0" applyFill="0" applyBorder="0" applyAlignment="0" applyProtection="0">
      <alignment vertical="center"/>
    </xf>
    <xf numFmtId="0" fontId="13" fillId="0" borderId="0"/>
  </cellStyleXfs>
  <cellXfs count="8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5" fontId="7" fillId="0" borderId="0" xfId="0" applyNumberFormat="1" applyFont="1" applyAlignment="1">
      <alignment horizontal="center" vertical="center"/>
    </xf>
    <xf numFmtId="5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 applyProtection="1">
      <alignment horizontal="center" vertical="center" shrinkToFit="1"/>
      <protection locked="0"/>
    </xf>
    <xf numFmtId="0" fontId="0" fillId="3" borderId="11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0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13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13" fillId="3" borderId="0" xfId="2" applyFill="1" applyAlignment="1">
      <alignment horizontal="center" vertical="center"/>
    </xf>
    <xf numFmtId="0" fontId="13" fillId="4" borderId="1" xfId="2" applyFill="1" applyBorder="1" applyAlignment="1">
      <alignment horizontal="center"/>
    </xf>
    <xf numFmtId="0" fontId="13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0" fontId="0" fillId="0" borderId="1" xfId="2" applyFont="1" applyBorder="1" applyAlignment="1" applyProtection="1">
      <alignment shrinkToFit="1"/>
      <protection locked="0"/>
    </xf>
    <xf numFmtId="0" fontId="13" fillId="0" borderId="0" xfId="2" applyAlignment="1">
      <alignment shrinkToFit="1"/>
    </xf>
    <xf numFmtId="0" fontId="13" fillId="5" borderId="1" xfId="2" applyFill="1" applyBorder="1" applyAlignment="1" applyProtection="1">
      <alignment horizontal="center" vertical="center" shrinkToFit="1"/>
      <protection locked="0"/>
    </xf>
    <xf numFmtId="0" fontId="13" fillId="0" borderId="0" xfId="2"/>
    <xf numFmtId="38" fontId="13" fillId="0" borderId="0" xfId="1" applyFont="1" applyAlignment="1" applyProtection="1"/>
    <xf numFmtId="0" fontId="13" fillId="0" borderId="0" xfId="2" applyAlignment="1">
      <alignment horizontal="center" vertical="center"/>
    </xf>
    <xf numFmtId="38" fontId="13" fillId="0" borderId="0" xfId="1" applyFont="1" applyAlignment="1" applyProtection="1">
      <alignment horizontal="center" vertical="center"/>
    </xf>
    <xf numFmtId="0" fontId="13" fillId="0" borderId="1" xfId="2" applyBorder="1" applyAlignment="1" applyProtection="1">
      <alignment shrinkToFit="1"/>
      <protection locked="0"/>
    </xf>
    <xf numFmtId="0" fontId="0" fillId="0" borderId="0" xfId="2" applyFont="1"/>
    <xf numFmtId="0" fontId="13" fillId="5" borderId="1" xfId="2" applyFill="1" applyBorder="1" applyProtection="1">
      <protection locked="0"/>
    </xf>
    <xf numFmtId="0" fontId="8" fillId="5" borderId="1" xfId="2" applyFont="1" applyFill="1" applyBorder="1" applyAlignment="1" applyProtection="1">
      <alignment horizontal="right"/>
      <protection locked="0"/>
    </xf>
    <xf numFmtId="0" fontId="0" fillId="2" borderId="12" xfId="0" applyFill="1" applyBorder="1" applyAlignment="1">
      <alignment horizontal="center" vertical="center"/>
    </xf>
    <xf numFmtId="176" fontId="0" fillId="0" borderId="13" xfId="0" applyNumberFormat="1" applyBorder="1" applyAlignment="1">
      <alignment horizontal="right" vertical="center"/>
    </xf>
    <xf numFmtId="0" fontId="0" fillId="2" borderId="14" xfId="0" applyFill="1" applyBorder="1" applyAlignment="1">
      <alignment horizontal="center" vertical="center"/>
    </xf>
    <xf numFmtId="5" fontId="0" fillId="0" borderId="15" xfId="0" applyNumberFormat="1" applyBorder="1" applyAlignment="1">
      <alignment horizontal="right" vertical="center"/>
    </xf>
    <xf numFmtId="49" fontId="0" fillId="0" borderId="1" xfId="0" applyNumberFormat="1" applyBorder="1" applyAlignment="1" applyProtection="1">
      <alignment horizontal="center" vertical="center" shrinkToFit="1"/>
      <protection locked="0"/>
    </xf>
    <xf numFmtId="0" fontId="0" fillId="5" borderId="1" xfId="2" applyFont="1" applyFill="1" applyBorder="1" applyProtection="1">
      <protection locked="0"/>
    </xf>
    <xf numFmtId="0" fontId="14" fillId="0" borderId="10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11" fillId="0" borderId="0" xfId="0" applyNumberFormat="1" applyFont="1" applyAlignment="1">
      <alignment horizontal="left" vertical="center"/>
    </xf>
  </cellXfs>
  <cellStyles count="3">
    <cellStyle name="桁区切り" xfId="1" builtinId="6"/>
    <cellStyle name="標準" xfId="0" builtinId="0"/>
    <cellStyle name="標準 2" xfId="2" xr:uid="{0F0C412C-B312-4A56-A934-3D0797CFF348}"/>
  </cellStyles>
  <dxfs count="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CFFCC"/>
      <color rgb="FFCCFFFF"/>
      <color rgb="FFFFCC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409989</xdr:colOff>
      <xdr:row>5</xdr:row>
      <xdr:rowOff>57978</xdr:rowOff>
    </xdr:from>
    <xdr:to>
      <xdr:col>3</xdr:col>
      <xdr:colOff>964924</xdr:colOff>
      <xdr:row>10</xdr:row>
      <xdr:rowOff>66260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C5F31F8-331D-4F1E-A415-090050549A27}"/>
            </a:ext>
          </a:extLst>
        </xdr:cNvPr>
        <xdr:cNvSpPr/>
      </xdr:nvSpPr>
      <xdr:spPr>
        <a:xfrm>
          <a:off x="409989" y="1524000"/>
          <a:ext cx="5582478" cy="815837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校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と記載願います。（例：景雲中学校、湖陵高校）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女子が男子にエントリーすることはできません。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4"/>
  <sheetViews>
    <sheetView tabSelected="1" view="pageBreakPreview" zoomScale="115" zoomScaleNormal="100" zoomScaleSheetLayoutView="115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30" customHeight="1">
      <c r="A2" s="29" t="s">
        <v>0</v>
      </c>
      <c r="B2" s="29" t="s">
        <v>2</v>
      </c>
      <c r="C2" s="29" t="s">
        <v>42</v>
      </c>
      <c r="D2" s="29" t="s">
        <v>24</v>
      </c>
    </row>
    <row r="3" spans="1:4" ht="30" customHeight="1">
      <c r="A3" s="28" t="s">
        <v>57</v>
      </c>
      <c r="B3" s="30"/>
      <c r="C3" s="24"/>
      <c r="D3" s="57"/>
    </row>
    <row r="4" spans="1:4" ht="30" customHeight="1">
      <c r="A4" s="59" t="s">
        <v>43</v>
      </c>
      <c r="B4" s="60"/>
      <c r="C4" s="60"/>
      <c r="D4" s="60"/>
    </row>
  </sheetData>
  <sheetProtection sheet="1" selectLockedCells="1"/>
  <protectedRanges>
    <protectedRange sqref="A3:D3" name="範囲1"/>
  </protectedRanges>
  <mergeCells count="1">
    <mergeCell ref="A4:D4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4BFC-63C9-486A-BBE5-0127FDE1906D}">
  <sheetPr>
    <tabColor rgb="FFCCFFCC"/>
  </sheetPr>
  <dimension ref="A1:K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0" customWidth="1"/>
    <col min="2" max="2" width="20.19921875" customWidth="1"/>
    <col min="3" max="4" width="20" customWidth="1"/>
    <col min="5" max="5" width="12.6640625" style="9" customWidth="1"/>
    <col min="6" max="6" width="20" style="9" customWidth="1"/>
    <col min="7" max="7" width="5.59765625" style="9" customWidth="1"/>
    <col min="8" max="10" width="11.46484375" customWidth="1"/>
  </cols>
  <sheetData>
    <row r="1" spans="1:11" s="8" customFormat="1" ht="19.5" customHeight="1">
      <c r="A1" s="61" t="s">
        <v>0</v>
      </c>
      <c r="B1" s="61"/>
      <c r="C1" s="62" t="str">
        <f>IF(団体名等入力!A3="","",団体名等入力!A3)</f>
        <v>国スポ（少年の部）釧路地区予選</v>
      </c>
      <c r="D1" s="63"/>
      <c r="E1" s="63"/>
      <c r="F1" s="64"/>
      <c r="G1" s="31"/>
      <c r="H1" s="32"/>
    </row>
    <row r="2" spans="1:11" ht="19.5" customHeight="1">
      <c r="A2" s="61" t="s">
        <v>2</v>
      </c>
      <c r="B2" s="61"/>
      <c r="C2" s="65" t="str">
        <f>IF(団体名等入力!B3="","",団体名等入力!B3)</f>
        <v/>
      </c>
      <c r="D2" s="66"/>
      <c r="E2" s="66"/>
      <c r="F2" s="67"/>
      <c r="G2" s="32"/>
    </row>
    <row r="3" spans="1:11" ht="19.5" customHeight="1">
      <c r="A3" s="33" t="s">
        <v>44</v>
      </c>
      <c r="B3" s="33"/>
      <c r="C3" s="34"/>
      <c r="D3" s="10"/>
    </row>
    <row r="4" spans="1:11" s="9" customFormat="1" ht="33.75" customHeight="1">
      <c r="A4" s="35"/>
      <c r="B4" s="36" t="s">
        <v>45</v>
      </c>
      <c r="C4" s="35" t="s">
        <v>1</v>
      </c>
      <c r="D4" s="35" t="s">
        <v>2</v>
      </c>
      <c r="E4" s="36" t="s">
        <v>53</v>
      </c>
      <c r="F4" s="35" t="s">
        <v>46</v>
      </c>
      <c r="G4" s="37"/>
    </row>
    <row r="5" spans="1:11" ht="19.5" customHeight="1">
      <c r="A5" s="38" t="str">
        <f>IF(B5="","",1)</f>
        <v/>
      </c>
      <c r="B5" s="39"/>
      <c r="C5" s="40"/>
      <c r="D5" s="41"/>
      <c r="E5" s="41" t="s">
        <v>15</v>
      </c>
      <c r="F5" s="42"/>
      <c r="G5" s="43"/>
    </row>
    <row r="6" spans="1:11" ht="19.5" customHeight="1">
      <c r="A6" s="38" t="str">
        <f>IF(B6="","",A5+1)</f>
        <v/>
      </c>
      <c r="B6" s="39"/>
      <c r="C6" s="40"/>
      <c r="D6" s="44"/>
      <c r="E6" s="41" t="s">
        <v>15</v>
      </c>
      <c r="F6" s="42"/>
      <c r="G6" s="43"/>
      <c r="H6" s="45"/>
      <c r="I6" s="45" t="s">
        <v>47</v>
      </c>
      <c r="J6" s="45"/>
      <c r="K6" s="45" t="s">
        <v>48</v>
      </c>
    </row>
    <row r="7" spans="1:11" ht="19.5" customHeight="1">
      <c r="A7" s="38" t="str">
        <f t="shared" ref="A7:A44" si="0">IF(B7="","",A6+1)</f>
        <v/>
      </c>
      <c r="B7" s="39"/>
      <c r="C7" s="40"/>
      <c r="D7" s="44"/>
      <c r="E7" s="41" t="s">
        <v>15</v>
      </c>
      <c r="F7" s="42"/>
      <c r="G7" s="43"/>
      <c r="H7" s="45"/>
      <c r="I7" s="45">
        <f>SUM(I9:I16)</f>
        <v>0</v>
      </c>
      <c r="J7" s="45"/>
      <c r="K7" s="46">
        <f>SUM(K9:K16)</f>
        <v>0</v>
      </c>
    </row>
    <row r="8" spans="1:11" ht="19.5" customHeight="1">
      <c r="A8" s="38" t="str">
        <f t="shared" si="0"/>
        <v/>
      </c>
      <c r="B8" s="39"/>
      <c r="C8" s="40"/>
      <c r="D8" s="44"/>
      <c r="E8" s="41" t="s">
        <v>15</v>
      </c>
      <c r="F8" s="42"/>
      <c r="G8" s="43"/>
      <c r="H8" s="47" t="s">
        <v>49</v>
      </c>
      <c r="I8" s="47" t="s">
        <v>50</v>
      </c>
      <c r="J8" s="47" t="s">
        <v>51</v>
      </c>
      <c r="K8" s="48" t="s">
        <v>52</v>
      </c>
    </row>
    <row r="9" spans="1:11" ht="19.5" customHeight="1">
      <c r="A9" s="38" t="str">
        <f t="shared" si="0"/>
        <v/>
      </c>
      <c r="B9" s="39"/>
      <c r="C9" s="40"/>
      <c r="D9" s="44"/>
      <c r="E9" s="41" t="s">
        <v>15</v>
      </c>
      <c r="F9" s="42"/>
      <c r="G9" s="43"/>
      <c r="H9" s="50" t="s">
        <v>58</v>
      </c>
      <c r="I9" s="45">
        <f>COUNTIF(A:B,H9)</f>
        <v>0</v>
      </c>
      <c r="J9" s="46">
        <v>500</v>
      </c>
      <c r="K9" s="46">
        <f>I9*J9</f>
        <v>0</v>
      </c>
    </row>
    <row r="10" spans="1:11" ht="19.5" customHeight="1">
      <c r="A10" s="38" t="str">
        <f t="shared" si="0"/>
        <v/>
      </c>
      <c r="B10" s="39"/>
      <c r="C10" s="40"/>
      <c r="D10" s="44"/>
      <c r="E10" s="41" t="s">
        <v>15</v>
      </c>
      <c r="F10" s="42"/>
      <c r="G10" s="43"/>
      <c r="H10" s="50" t="s">
        <v>59</v>
      </c>
      <c r="I10" s="45">
        <f>COUNTIF(A:B,H10)</f>
        <v>0</v>
      </c>
      <c r="J10" s="46">
        <v>500</v>
      </c>
      <c r="K10" s="46">
        <f>I10*J10</f>
        <v>0</v>
      </c>
    </row>
    <row r="11" spans="1:11" ht="19.5" customHeight="1">
      <c r="A11" s="38" t="str">
        <f t="shared" si="0"/>
        <v/>
      </c>
      <c r="B11" s="39"/>
      <c r="C11" s="40"/>
      <c r="D11" s="44"/>
      <c r="E11" s="41" t="s">
        <v>15</v>
      </c>
      <c r="F11" s="49"/>
      <c r="G11" s="43"/>
      <c r="H11" s="45"/>
      <c r="I11" s="45"/>
      <c r="K11" s="46"/>
    </row>
    <row r="12" spans="1:11" ht="19.5" customHeight="1">
      <c r="A12" s="38" t="str">
        <f t="shared" si="0"/>
        <v/>
      </c>
      <c r="B12" s="39"/>
      <c r="C12" s="40"/>
      <c r="D12" s="44"/>
      <c r="E12" s="41" t="s">
        <v>15</v>
      </c>
      <c r="F12" s="49"/>
      <c r="G12" s="43"/>
      <c r="H12" s="50"/>
      <c r="I12" s="45"/>
      <c r="K12" s="46"/>
    </row>
    <row r="13" spans="1:11" ht="19.5" customHeight="1">
      <c r="A13" s="38" t="str">
        <f t="shared" si="0"/>
        <v/>
      </c>
      <c r="B13" s="39"/>
      <c r="C13" s="40"/>
      <c r="D13" s="44"/>
      <c r="E13" s="41" t="s">
        <v>15</v>
      </c>
      <c r="F13" s="49"/>
      <c r="G13" s="43"/>
      <c r="H13" s="50"/>
      <c r="I13" s="45"/>
      <c r="K13" s="46"/>
    </row>
    <row r="14" spans="1:11" ht="19.5" customHeight="1">
      <c r="A14" s="38" t="str">
        <f t="shared" si="0"/>
        <v/>
      </c>
      <c r="B14" s="39"/>
      <c r="C14" s="40"/>
      <c r="D14" s="44"/>
      <c r="E14" s="41" t="s">
        <v>15</v>
      </c>
      <c r="F14" s="49"/>
      <c r="G14" s="43"/>
      <c r="H14" s="50"/>
      <c r="I14" s="45"/>
      <c r="K14" s="46"/>
    </row>
    <row r="15" spans="1:11" ht="19.5" customHeight="1">
      <c r="A15" s="38" t="str">
        <f t="shared" si="0"/>
        <v/>
      </c>
      <c r="B15" s="39"/>
      <c r="C15" s="40"/>
      <c r="D15" s="44"/>
      <c r="E15" s="41" t="s">
        <v>15</v>
      </c>
      <c r="F15" s="49"/>
      <c r="G15" s="43"/>
      <c r="H15" s="50"/>
      <c r="I15" s="45"/>
      <c r="K15" s="46"/>
    </row>
    <row r="16" spans="1:11" ht="19.5" customHeight="1">
      <c r="A16" s="38" t="str">
        <f t="shared" si="0"/>
        <v/>
      </c>
      <c r="B16" s="39"/>
      <c r="C16" s="40"/>
      <c r="D16" s="44"/>
      <c r="E16" s="41" t="s">
        <v>15</v>
      </c>
      <c r="F16" s="49"/>
      <c r="G16" s="43"/>
      <c r="H16" s="50"/>
      <c r="I16" s="45"/>
      <c r="K16" s="46"/>
    </row>
    <row r="17" spans="1:8" ht="19.5" customHeight="1">
      <c r="A17" s="38" t="str">
        <f t="shared" si="0"/>
        <v/>
      </c>
      <c r="B17" s="39"/>
      <c r="C17" s="40"/>
      <c r="D17" s="44"/>
      <c r="E17" s="41" t="s">
        <v>15</v>
      </c>
      <c r="F17" s="49"/>
      <c r="G17" s="43"/>
      <c r="H17" s="45"/>
    </row>
    <row r="18" spans="1:8" ht="19.5" customHeight="1">
      <c r="A18" s="38" t="str">
        <f t="shared" si="0"/>
        <v/>
      </c>
      <c r="B18" s="39"/>
      <c r="C18" s="40"/>
      <c r="D18" s="44"/>
      <c r="E18" s="41" t="s">
        <v>15</v>
      </c>
      <c r="F18" s="49"/>
      <c r="G18" s="43"/>
      <c r="H18" s="45"/>
    </row>
    <row r="19" spans="1:8" ht="19.5" customHeight="1">
      <c r="A19" s="38" t="str">
        <f t="shared" si="0"/>
        <v/>
      </c>
      <c r="B19" s="39"/>
      <c r="C19" s="40"/>
      <c r="D19" s="44"/>
      <c r="E19" s="41" t="s">
        <v>15</v>
      </c>
      <c r="F19" s="49"/>
      <c r="G19" s="43"/>
      <c r="H19" s="45"/>
    </row>
    <row r="20" spans="1:8" ht="19.5" customHeight="1">
      <c r="A20" s="38" t="str">
        <f t="shared" si="0"/>
        <v/>
      </c>
      <c r="B20" s="39"/>
      <c r="C20" s="40"/>
      <c r="D20" s="44"/>
      <c r="E20" s="41" t="s">
        <v>15</v>
      </c>
      <c r="F20" s="49"/>
      <c r="G20" s="43"/>
      <c r="H20" s="45"/>
    </row>
    <row r="21" spans="1:8" ht="19.5" customHeight="1">
      <c r="A21" s="38" t="str">
        <f t="shared" si="0"/>
        <v/>
      </c>
      <c r="B21" s="39"/>
      <c r="C21" s="40"/>
      <c r="D21" s="44"/>
      <c r="E21" s="41" t="s">
        <v>15</v>
      </c>
      <c r="F21" s="49"/>
      <c r="G21" s="43"/>
      <c r="H21" s="45"/>
    </row>
    <row r="22" spans="1:8" ht="19.5" customHeight="1">
      <c r="A22" s="38" t="str">
        <f t="shared" si="0"/>
        <v/>
      </c>
      <c r="B22" s="39"/>
      <c r="C22" s="40"/>
      <c r="D22" s="44"/>
      <c r="E22" s="41" t="s">
        <v>15</v>
      </c>
      <c r="F22" s="49"/>
      <c r="G22" s="43"/>
      <c r="H22" s="45"/>
    </row>
    <row r="23" spans="1:8" ht="19.5" customHeight="1">
      <c r="A23" s="38" t="str">
        <f t="shared" si="0"/>
        <v/>
      </c>
      <c r="B23" s="39"/>
      <c r="C23" s="40"/>
      <c r="D23" s="44"/>
      <c r="E23" s="41" t="s">
        <v>15</v>
      </c>
      <c r="F23" s="49"/>
      <c r="G23" s="43"/>
      <c r="H23" s="45"/>
    </row>
    <row r="24" spans="1:8" ht="19.5" customHeight="1">
      <c r="A24" s="38" t="str">
        <f t="shared" si="0"/>
        <v/>
      </c>
      <c r="B24" s="39"/>
      <c r="C24" s="40"/>
      <c r="D24" s="44"/>
      <c r="E24" s="41" t="s">
        <v>15</v>
      </c>
      <c r="F24" s="49"/>
      <c r="G24" s="43"/>
      <c r="H24" s="45"/>
    </row>
    <row r="25" spans="1:8" ht="19.5" customHeight="1">
      <c r="A25" s="38" t="str">
        <f t="shared" si="0"/>
        <v/>
      </c>
      <c r="B25" s="39"/>
      <c r="C25" s="51"/>
      <c r="D25" s="51"/>
      <c r="E25" s="41" t="s">
        <v>15</v>
      </c>
      <c r="F25" s="49"/>
      <c r="G25" s="43"/>
      <c r="H25" s="45"/>
    </row>
    <row r="26" spans="1:8" ht="19.5" customHeight="1">
      <c r="A26" s="38" t="str">
        <f t="shared" si="0"/>
        <v/>
      </c>
      <c r="B26" s="39"/>
      <c r="C26" s="51"/>
      <c r="D26" s="52"/>
      <c r="E26" s="41" t="s">
        <v>15</v>
      </c>
      <c r="F26" s="49"/>
      <c r="G26" s="43"/>
      <c r="H26" s="45"/>
    </row>
    <row r="27" spans="1:8" ht="19.5" customHeight="1">
      <c r="A27" s="38" t="str">
        <f t="shared" si="0"/>
        <v/>
      </c>
      <c r="B27" s="39"/>
      <c r="C27" s="51"/>
      <c r="D27" s="51"/>
      <c r="E27" s="41" t="s">
        <v>15</v>
      </c>
      <c r="F27" s="49"/>
      <c r="G27" s="43"/>
      <c r="H27" s="45"/>
    </row>
    <row r="28" spans="1:8" ht="19.5" customHeight="1">
      <c r="A28" s="38" t="str">
        <f t="shared" si="0"/>
        <v/>
      </c>
      <c r="B28" s="39"/>
      <c r="C28" s="51"/>
      <c r="D28" s="51"/>
      <c r="E28" s="41" t="s">
        <v>15</v>
      </c>
      <c r="F28" s="49"/>
      <c r="G28" s="43"/>
      <c r="H28" s="45"/>
    </row>
    <row r="29" spans="1:8" ht="19.5" customHeight="1">
      <c r="A29" s="38" t="str">
        <f t="shared" si="0"/>
        <v/>
      </c>
      <c r="B29" s="39"/>
      <c r="C29" s="51"/>
      <c r="D29" s="51"/>
      <c r="E29" s="41" t="s">
        <v>15</v>
      </c>
      <c r="F29" s="49"/>
      <c r="G29" s="43"/>
      <c r="H29" s="45"/>
    </row>
    <row r="30" spans="1:8" ht="19.5" customHeight="1">
      <c r="A30" s="38" t="str">
        <f t="shared" si="0"/>
        <v/>
      </c>
      <c r="B30" s="39"/>
      <c r="C30" s="51"/>
      <c r="D30" s="51"/>
      <c r="E30" s="41" t="s">
        <v>15</v>
      </c>
      <c r="F30" s="49"/>
      <c r="G30" s="43"/>
      <c r="H30" s="45"/>
    </row>
    <row r="31" spans="1:8" ht="19.5" customHeight="1">
      <c r="A31" s="38" t="str">
        <f t="shared" si="0"/>
        <v/>
      </c>
      <c r="B31" s="39"/>
      <c r="C31" s="51"/>
      <c r="D31" s="51"/>
      <c r="E31" s="41" t="s">
        <v>15</v>
      </c>
      <c r="F31" s="49"/>
      <c r="G31" s="43"/>
      <c r="H31" s="45"/>
    </row>
    <row r="32" spans="1:8" ht="19.5" customHeight="1">
      <c r="A32" s="38" t="str">
        <f t="shared" si="0"/>
        <v/>
      </c>
      <c r="B32" s="39"/>
      <c r="C32" s="51"/>
      <c r="D32" s="51"/>
      <c r="E32" s="41" t="s">
        <v>15</v>
      </c>
      <c r="F32" s="49"/>
      <c r="G32" s="43"/>
      <c r="H32" s="45"/>
    </row>
    <row r="33" spans="1:8" ht="19.5" customHeight="1">
      <c r="A33" s="38" t="str">
        <f t="shared" si="0"/>
        <v/>
      </c>
      <c r="B33" s="39"/>
      <c r="C33" s="51"/>
      <c r="D33" s="51"/>
      <c r="E33" s="41" t="s">
        <v>15</v>
      </c>
      <c r="F33" s="49"/>
      <c r="G33" s="43"/>
      <c r="H33" s="45"/>
    </row>
    <row r="34" spans="1:8" ht="19.5" customHeight="1">
      <c r="A34" s="38" t="str">
        <f t="shared" si="0"/>
        <v/>
      </c>
      <c r="B34" s="39"/>
      <c r="C34" s="51"/>
      <c r="D34" s="51"/>
      <c r="E34" s="41" t="s">
        <v>15</v>
      </c>
      <c r="F34" s="49"/>
      <c r="G34" s="43"/>
      <c r="H34" s="45"/>
    </row>
    <row r="35" spans="1:8" ht="19.5" customHeight="1">
      <c r="A35" s="38" t="str">
        <f t="shared" si="0"/>
        <v/>
      </c>
      <c r="B35" s="39"/>
      <c r="C35" s="51"/>
      <c r="D35" s="51"/>
      <c r="E35" s="41" t="s">
        <v>15</v>
      </c>
      <c r="F35" s="49"/>
      <c r="G35" s="43"/>
      <c r="H35" s="45"/>
    </row>
    <row r="36" spans="1:8" ht="19.5" customHeight="1">
      <c r="A36" s="38" t="str">
        <f t="shared" si="0"/>
        <v/>
      </c>
      <c r="B36" s="39"/>
      <c r="C36" s="51"/>
      <c r="D36" s="51"/>
      <c r="E36" s="41" t="s">
        <v>15</v>
      </c>
      <c r="F36" s="49"/>
      <c r="G36" s="43"/>
      <c r="H36" s="45"/>
    </row>
    <row r="37" spans="1:8" ht="19.5" customHeight="1">
      <c r="A37" s="38" t="str">
        <f t="shared" si="0"/>
        <v/>
      </c>
      <c r="B37" s="39"/>
      <c r="C37" s="51"/>
      <c r="D37" s="51"/>
      <c r="E37" s="41" t="s">
        <v>15</v>
      </c>
      <c r="F37" s="49"/>
      <c r="G37" s="43"/>
      <c r="H37" s="45"/>
    </row>
    <row r="38" spans="1:8" ht="19.5" customHeight="1">
      <c r="A38" s="38" t="str">
        <f t="shared" si="0"/>
        <v/>
      </c>
      <c r="B38" s="39"/>
      <c r="C38" s="51"/>
      <c r="D38" s="51"/>
      <c r="E38" s="41" t="s">
        <v>15</v>
      </c>
      <c r="F38" s="49"/>
      <c r="G38" s="43"/>
      <c r="H38" s="45"/>
    </row>
    <row r="39" spans="1:8" ht="19.5" customHeight="1">
      <c r="A39" s="38" t="str">
        <f t="shared" si="0"/>
        <v/>
      </c>
      <c r="B39" s="39"/>
      <c r="C39" s="51"/>
      <c r="D39" s="51"/>
      <c r="E39" s="41" t="s">
        <v>15</v>
      </c>
      <c r="F39" s="49"/>
      <c r="G39" s="43"/>
      <c r="H39" s="45"/>
    </row>
    <row r="40" spans="1:8" ht="19.5" customHeight="1">
      <c r="A40" s="38" t="str">
        <f t="shared" si="0"/>
        <v/>
      </c>
      <c r="B40" s="39"/>
      <c r="C40" s="51"/>
      <c r="D40" s="51"/>
      <c r="E40" s="41" t="s">
        <v>15</v>
      </c>
      <c r="F40" s="49"/>
      <c r="G40" s="43"/>
      <c r="H40" s="45"/>
    </row>
    <row r="41" spans="1:8" ht="19.5" customHeight="1">
      <c r="A41" s="38" t="str">
        <f t="shared" si="0"/>
        <v/>
      </c>
      <c r="B41" s="39"/>
      <c r="C41" s="51"/>
      <c r="D41" s="51"/>
      <c r="E41" s="41" t="s">
        <v>15</v>
      </c>
      <c r="F41" s="49"/>
      <c r="G41" s="43"/>
      <c r="H41" s="45"/>
    </row>
    <row r="42" spans="1:8" ht="19.5" customHeight="1">
      <c r="A42" s="38" t="str">
        <f t="shared" si="0"/>
        <v/>
      </c>
      <c r="B42" s="39"/>
      <c r="C42" s="51"/>
      <c r="D42" s="51"/>
      <c r="E42" s="41" t="s">
        <v>15</v>
      </c>
      <c r="F42" s="49"/>
      <c r="G42" s="43"/>
      <c r="H42" s="45"/>
    </row>
    <row r="43" spans="1:8" ht="19.5" customHeight="1">
      <c r="A43" s="38" t="str">
        <f t="shared" si="0"/>
        <v/>
      </c>
      <c r="B43" s="39"/>
      <c r="C43" s="58"/>
      <c r="D43" s="51"/>
      <c r="E43" s="41" t="s">
        <v>15</v>
      </c>
      <c r="F43" s="49"/>
      <c r="G43" s="43"/>
      <c r="H43" s="45"/>
    </row>
    <row r="44" spans="1:8" ht="19.5" customHeight="1">
      <c r="A44" s="38" t="str">
        <f t="shared" si="0"/>
        <v/>
      </c>
      <c r="B44" s="39"/>
      <c r="C44" s="51"/>
      <c r="D44" s="51"/>
      <c r="E44" s="41" t="s">
        <v>15</v>
      </c>
      <c r="F44" s="49"/>
      <c r="G44" s="43"/>
    </row>
    <row r="45" spans="1:8" ht="19.5" customHeight="1" thickBot="1"/>
    <row r="46" spans="1:8" ht="19.5" customHeight="1" thickBot="1">
      <c r="B46" s="53" t="s">
        <v>7</v>
      </c>
      <c r="C46" s="54">
        <f>I7</f>
        <v>0</v>
      </c>
    </row>
    <row r="47" spans="1:8" ht="19.5" customHeight="1" thickBot="1">
      <c r="B47" s="55" t="s">
        <v>3</v>
      </c>
      <c r="C47" s="56">
        <f>K7</f>
        <v>0</v>
      </c>
    </row>
  </sheetData>
  <sheetProtection sheet="1" selectLockedCells="1"/>
  <mergeCells count="4">
    <mergeCell ref="A1:B1"/>
    <mergeCell ref="C1:F1"/>
    <mergeCell ref="A2:B2"/>
    <mergeCell ref="C2:F2"/>
  </mergeCells>
  <phoneticPr fontId="1"/>
  <conditionalFormatting sqref="B4:B44">
    <cfRule type="containsText" dxfId="3" priority="1" operator="containsText" text="女子">
      <formula>NOT(ISERROR(SEARCH("女子",B4)))</formula>
    </cfRule>
    <cfRule type="containsText" dxfId="2" priority="2" operator="containsText" text="男子">
      <formula>NOT(ISERROR(SEARCH("男子",B4)))</formula>
    </cfRule>
  </conditionalFormatting>
  <conditionalFormatting sqref="B5:D44">
    <cfRule type="notContainsBlanks" dxfId="1" priority="3">
      <formula>LEN(TRIM(B5))&gt;0</formula>
    </cfRule>
  </conditionalFormatting>
  <conditionalFormatting sqref="E5:G17 E6:E44 F18:G18 F20:G44">
    <cfRule type="notContainsBlanks" dxfId="0" priority="4">
      <formula>LEN(TRIM(E5))&gt;0</formula>
    </cfRule>
  </conditionalFormatting>
  <dataValidations count="2">
    <dataValidation type="list" allowBlank="1" showInputMessage="1" showErrorMessage="1" sqref="E5:E44" xr:uid="{FACCCCD0-A1CE-4D41-AD38-281276D07A40}">
      <formula1>"高校3年,高校2年,高校1年,中学3年,　,"</formula1>
    </dataValidation>
    <dataValidation type="list" allowBlank="1" showInputMessage="1" showErrorMessage="1" sqref="B5:B44" xr:uid="{796ED1E0-FB4B-4F58-950F-500AF184725B}">
      <formula1>$H$9:$H$11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0" customWidth="1"/>
    <col min="2" max="2" width="9" style="10" bestFit="1" customWidth="1"/>
    <col min="3" max="3" width="13.265625" customWidth="1"/>
    <col min="4" max="5" width="15.59765625" customWidth="1"/>
    <col min="6" max="6" width="15.59765625" style="9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8" customFormat="1" ht="19.5" customHeight="1" thickBot="1">
      <c r="A1" s="68" t="s">
        <v>0</v>
      </c>
      <c r="B1" s="68"/>
      <c r="C1" s="68"/>
      <c r="D1" s="68" t="str">
        <f>団体名等入力!A3</f>
        <v>国スポ（少年の部）釧路地区予選</v>
      </c>
      <c r="E1" s="68"/>
      <c r="F1" s="68"/>
    </row>
    <row r="2" spans="1:10" ht="19.5" customHeight="1" thickBot="1">
      <c r="A2" s="69" t="s">
        <v>2</v>
      </c>
      <c r="B2" s="70"/>
      <c r="C2" s="71"/>
      <c r="D2" s="71" t="str">
        <f>IF(団体名等入力!C3="","",団体名等入力!C3)</f>
        <v/>
      </c>
      <c r="E2" s="71"/>
      <c r="F2" s="72"/>
    </row>
    <row r="3" spans="1:10" ht="19.5" customHeight="1">
      <c r="A3" s="9"/>
      <c r="B3" s="9"/>
      <c r="C3" s="9"/>
      <c r="D3" s="10"/>
      <c r="E3" s="10"/>
    </row>
    <row r="4" spans="1:10" s="9" customFormat="1" ht="19.5" customHeight="1">
      <c r="A4" s="11"/>
      <c r="B4" s="11" t="s">
        <v>20</v>
      </c>
      <c r="C4" s="11" t="s">
        <v>10</v>
      </c>
      <c r="D4" s="11" t="s">
        <v>8</v>
      </c>
      <c r="E4" s="11" t="s">
        <v>9</v>
      </c>
      <c r="F4" s="11" t="s">
        <v>11</v>
      </c>
      <c r="G4" s="11" t="s">
        <v>12</v>
      </c>
      <c r="H4" s="11" t="s">
        <v>14</v>
      </c>
    </row>
    <row r="5" spans="1:10" ht="19.5" customHeight="1">
      <c r="A5" s="13">
        <v>1</v>
      </c>
      <c r="B5" s="14" t="s">
        <v>16</v>
      </c>
      <c r="C5" s="14" t="s">
        <v>39</v>
      </c>
      <c r="D5" s="15" t="s" ph="1">
        <v>25</v>
      </c>
      <c r="E5" s="16" t="s" ph="1">
        <v>26</v>
      </c>
      <c r="F5" s="15" t="s" ph="1">
        <v>30</v>
      </c>
      <c r="G5" s="15" t="s" ph="1">
        <v>31</v>
      </c>
      <c r="H5" s="14" t="s">
        <v>15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3">
        <v>2</v>
      </c>
      <c r="B6" s="14" t="s">
        <v>16</v>
      </c>
      <c r="C6" s="14" t="s">
        <v>40</v>
      </c>
      <c r="D6" s="16" t="s" ph="1">
        <v>32</v>
      </c>
      <c r="E6" s="16" t="s" ph="1">
        <v>33</v>
      </c>
      <c r="F6" s="16" t="s" ph="1">
        <v>34</v>
      </c>
      <c r="G6" s="16" t="s" ph="1">
        <v>23</v>
      </c>
      <c r="H6" s="14" t="s">
        <v>15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3">
        <v>3</v>
      </c>
      <c r="B7" s="14" t="s">
        <v>16</v>
      </c>
      <c r="C7" s="14" t="s">
        <v>41</v>
      </c>
      <c r="D7" s="16" t="s" ph="1">
        <v>21</v>
      </c>
      <c r="E7" s="16" t="s" ph="1">
        <v>22</v>
      </c>
      <c r="F7" s="16" t="s" ph="1">
        <v>23</v>
      </c>
      <c r="G7" s="16" ph="1"/>
      <c r="H7" s="14" t="s">
        <v>15</v>
      </c>
      <c r="I7">
        <f t="shared" si="0"/>
        <v>1500</v>
      </c>
      <c r="J7">
        <f t="shared" si="1"/>
        <v>1500</v>
      </c>
    </row>
    <row r="8" spans="1:10" ht="19.5" customHeight="1">
      <c r="A8" s="13">
        <v>4</v>
      </c>
      <c r="B8" s="14"/>
      <c r="C8" s="14"/>
      <c r="D8" s="16" ph="1"/>
      <c r="E8" s="16" ph="1"/>
      <c r="F8" s="16" ph="1"/>
      <c r="G8" s="16" ph="1"/>
      <c r="H8" s="14" t="s">
        <v>15</v>
      </c>
      <c r="I8">
        <f t="shared" si="0"/>
        <v>0</v>
      </c>
      <c r="J8">
        <f t="shared" si="1"/>
        <v>0</v>
      </c>
    </row>
    <row r="9" spans="1:10" ht="19.5" customHeight="1">
      <c r="A9" s="13">
        <v>5</v>
      </c>
      <c r="B9" s="14"/>
      <c r="C9" s="14"/>
      <c r="D9" s="16" ph="1"/>
      <c r="E9" s="14"/>
      <c r="F9" s="14"/>
      <c r="G9" s="17"/>
      <c r="H9" s="14" t="s">
        <v>15</v>
      </c>
      <c r="I9">
        <f t="shared" si="0"/>
        <v>0</v>
      </c>
      <c r="J9">
        <f t="shared" si="1"/>
        <v>0</v>
      </c>
    </row>
    <row r="10" spans="1:10" ht="19.5" customHeight="1">
      <c r="A10" s="13">
        <v>6</v>
      </c>
      <c r="B10" s="14"/>
      <c r="C10" s="14"/>
      <c r="D10" s="17" ph="1"/>
      <c r="E10" s="18"/>
      <c r="F10" s="14"/>
      <c r="G10" s="17"/>
      <c r="H10" s="14"/>
      <c r="I10">
        <f t="shared" si="0"/>
        <v>0</v>
      </c>
      <c r="J10">
        <f t="shared" si="1"/>
        <v>0</v>
      </c>
    </row>
    <row r="11" spans="1:10" ht="19.5" customHeight="1">
      <c r="A11" s="13">
        <v>7</v>
      </c>
      <c r="B11" s="14"/>
      <c r="C11" s="14"/>
      <c r="D11" s="17" ph="1"/>
      <c r="E11" s="18"/>
      <c r="F11" s="14"/>
      <c r="G11" s="17"/>
      <c r="H11" s="14"/>
      <c r="I11">
        <f t="shared" si="0"/>
        <v>0</v>
      </c>
      <c r="J11">
        <f t="shared" si="1"/>
        <v>0</v>
      </c>
    </row>
    <row r="12" spans="1:10" ht="19.5" customHeight="1">
      <c r="A12" s="13">
        <v>8</v>
      </c>
      <c r="B12" s="14"/>
      <c r="C12" s="14"/>
      <c r="D12" s="17" ph="1"/>
      <c r="E12" s="18"/>
      <c r="F12" s="14"/>
      <c r="G12" s="17"/>
      <c r="H12" s="14"/>
      <c r="I12">
        <f t="shared" si="0"/>
        <v>0</v>
      </c>
      <c r="J12">
        <f t="shared" si="1"/>
        <v>0</v>
      </c>
    </row>
    <row r="13" spans="1:10" ht="19.5" customHeight="1">
      <c r="A13" s="13">
        <v>9</v>
      </c>
      <c r="B13" s="14"/>
      <c r="C13" s="14"/>
      <c r="D13" s="17" ph="1"/>
      <c r="E13" s="18"/>
      <c r="F13" s="14"/>
      <c r="G13" s="17"/>
      <c r="H13" s="14"/>
      <c r="I13">
        <f t="shared" si="0"/>
        <v>0</v>
      </c>
      <c r="J13">
        <f t="shared" si="1"/>
        <v>0</v>
      </c>
    </row>
    <row r="14" spans="1:10" ht="19.5" customHeight="1">
      <c r="A14" s="13">
        <v>10</v>
      </c>
      <c r="B14" s="14"/>
      <c r="C14" s="14"/>
      <c r="D14" s="17" ph="1"/>
      <c r="E14" s="18"/>
      <c r="F14" s="14"/>
      <c r="G14" s="17"/>
      <c r="H14" s="14"/>
      <c r="I14">
        <f t="shared" si="0"/>
        <v>0</v>
      </c>
      <c r="J14">
        <f t="shared" si="1"/>
        <v>0</v>
      </c>
    </row>
    <row r="15" spans="1:10" ht="19.5" hidden="1" customHeight="1">
      <c r="A15" s="13">
        <v>11</v>
      </c>
      <c r="B15" s="14"/>
      <c r="C15" s="14"/>
      <c r="D15" s="17" ph="1"/>
      <c r="E15" s="18"/>
      <c r="F15" s="14"/>
      <c r="G15" s="17"/>
      <c r="H15" s="14"/>
      <c r="I15">
        <f t="shared" si="0"/>
        <v>0</v>
      </c>
      <c r="J15">
        <f t="shared" si="1"/>
        <v>0</v>
      </c>
    </row>
    <row r="16" spans="1:10" ht="19.5" hidden="1" customHeight="1">
      <c r="A16" s="13">
        <v>12</v>
      </c>
      <c r="B16" s="14"/>
      <c r="C16" s="14"/>
      <c r="D16" s="17" ph="1"/>
      <c r="E16" s="18"/>
      <c r="F16" s="14"/>
      <c r="G16" s="17"/>
      <c r="H16" s="14"/>
      <c r="I16">
        <f t="shared" si="0"/>
        <v>0</v>
      </c>
      <c r="J16">
        <f t="shared" si="1"/>
        <v>0</v>
      </c>
    </row>
    <row r="17" spans="1:10" ht="19.5" hidden="1" customHeight="1">
      <c r="A17" s="13">
        <v>13</v>
      </c>
      <c r="B17" s="14"/>
      <c r="C17" s="14"/>
      <c r="D17" s="17" ph="1"/>
      <c r="E17" s="18"/>
      <c r="F17" s="14"/>
      <c r="G17" s="17"/>
      <c r="H17" s="14"/>
      <c r="I17">
        <f t="shared" si="0"/>
        <v>0</v>
      </c>
      <c r="J17">
        <f t="shared" si="1"/>
        <v>0</v>
      </c>
    </row>
    <row r="18" spans="1:10" ht="19.5" hidden="1" customHeight="1">
      <c r="A18" s="13">
        <v>14</v>
      </c>
      <c r="B18" s="14"/>
      <c r="C18" s="14"/>
      <c r="D18" s="17"/>
      <c r="E18" s="18"/>
      <c r="F18" s="14"/>
      <c r="G18" s="17"/>
      <c r="H18" s="14"/>
      <c r="I18">
        <f t="shared" si="0"/>
        <v>0</v>
      </c>
      <c r="J18">
        <f t="shared" si="1"/>
        <v>0</v>
      </c>
    </row>
    <row r="19" spans="1:10" ht="19.5" hidden="1" customHeight="1">
      <c r="A19" s="13">
        <v>15</v>
      </c>
      <c r="B19" s="14"/>
      <c r="C19" s="14"/>
      <c r="D19" s="17"/>
      <c r="E19" s="18"/>
      <c r="F19" s="14"/>
      <c r="G19" s="17"/>
      <c r="H19" s="14"/>
      <c r="I19">
        <f t="shared" si="0"/>
        <v>0</v>
      </c>
      <c r="J19">
        <f t="shared" si="1"/>
        <v>0</v>
      </c>
    </row>
    <row r="20" spans="1:10" ht="19.5" hidden="1" customHeight="1">
      <c r="A20" s="13">
        <v>16</v>
      </c>
      <c r="B20" s="14"/>
      <c r="C20" s="14"/>
      <c r="D20" s="17"/>
      <c r="E20" s="18"/>
      <c r="F20" s="14"/>
      <c r="G20" s="17"/>
      <c r="H20" s="14"/>
      <c r="I20">
        <f t="shared" si="0"/>
        <v>0</v>
      </c>
      <c r="J20">
        <f t="shared" si="1"/>
        <v>0</v>
      </c>
    </row>
    <row r="21" spans="1:10" ht="19.5" hidden="1" customHeight="1">
      <c r="A21" s="13">
        <v>17</v>
      </c>
      <c r="B21" s="14"/>
      <c r="C21" s="14"/>
      <c r="D21" s="17"/>
      <c r="E21" s="18"/>
      <c r="F21" s="14"/>
      <c r="G21" s="17"/>
      <c r="H21" s="14"/>
      <c r="I21">
        <f t="shared" si="0"/>
        <v>0</v>
      </c>
      <c r="J21">
        <f t="shared" si="1"/>
        <v>0</v>
      </c>
    </row>
    <row r="22" spans="1:10" ht="19.5" hidden="1" customHeight="1">
      <c r="A22" s="13">
        <v>18</v>
      </c>
      <c r="B22" s="14"/>
      <c r="C22" s="14"/>
      <c r="D22" s="17"/>
      <c r="E22" s="18"/>
      <c r="F22" s="14"/>
      <c r="G22" s="17"/>
      <c r="H22" s="14"/>
      <c r="I22">
        <f t="shared" si="0"/>
        <v>0</v>
      </c>
      <c r="J22">
        <f t="shared" si="1"/>
        <v>0</v>
      </c>
    </row>
    <row r="23" spans="1:10" ht="19.5" hidden="1" customHeight="1">
      <c r="A23" s="13">
        <v>19</v>
      </c>
      <c r="B23" s="14"/>
      <c r="C23" s="14"/>
      <c r="D23" s="17"/>
      <c r="E23" s="18"/>
      <c r="F23" s="14"/>
      <c r="G23" s="17"/>
      <c r="H23" s="14"/>
      <c r="I23">
        <f t="shared" si="0"/>
        <v>0</v>
      </c>
      <c r="J23">
        <f t="shared" si="1"/>
        <v>0</v>
      </c>
    </row>
    <row r="24" spans="1:10" ht="19.5" hidden="1" customHeight="1">
      <c r="A24" s="13">
        <v>20</v>
      </c>
      <c r="B24" s="14"/>
      <c r="C24" s="14"/>
      <c r="D24" s="17"/>
      <c r="E24" s="18"/>
      <c r="F24" s="14"/>
      <c r="G24" s="17"/>
      <c r="H24" s="14"/>
      <c r="I24">
        <f t="shared" si="0"/>
        <v>0</v>
      </c>
      <c r="J24">
        <f t="shared" si="1"/>
        <v>0</v>
      </c>
    </row>
    <row r="26" spans="1:10" ht="19.5" customHeight="1" thickBot="1">
      <c r="F26" s="19" t="s">
        <v>13</v>
      </c>
      <c r="G26" s="23">
        <f>COUNTA(C5:C24)</f>
        <v>3</v>
      </c>
    </row>
    <row r="27" spans="1:10" ht="19.5" customHeight="1" thickBot="1">
      <c r="F27" s="21" t="s">
        <v>3</v>
      </c>
      <c r="G27" s="22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300-000000000000}">
      <formula1>"一般,大学,高校,中学,小学,　,"</formula1>
    </dataValidation>
    <dataValidation type="list" allowBlank="1" showInputMessage="1" showErrorMessage="1" sqref="H5:H24" xr:uid="{00000000-0002-0000-03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0" customWidth="1"/>
    <col min="2" max="2" width="13.265625" customWidth="1"/>
    <col min="3" max="4" width="23.59765625" customWidth="1"/>
    <col min="5" max="5" width="13.59765625" style="9" customWidth="1"/>
    <col min="6" max="8" width="11.46484375" hidden="1" customWidth="1"/>
  </cols>
  <sheetData>
    <row r="1" spans="1:8" s="8" customFormat="1" ht="19.5" customHeight="1">
      <c r="A1" s="73" t="s">
        <v>0</v>
      </c>
      <c r="B1" s="73"/>
      <c r="C1" s="73" t="str">
        <f>団体名等入力!A3</f>
        <v>国スポ（少年の部）釧路地区予選</v>
      </c>
      <c r="D1" s="73"/>
      <c r="E1" s="73"/>
      <c r="F1" s="26"/>
    </row>
    <row r="2" spans="1:8" ht="19.5" customHeight="1">
      <c r="A2" s="73" t="s">
        <v>2</v>
      </c>
      <c r="B2" s="73"/>
      <c r="C2" s="73" t="str">
        <f>IF(団体名等入力!B3="","",団体名等入力!B3)</f>
        <v/>
      </c>
      <c r="D2" s="73"/>
      <c r="E2" s="73"/>
      <c r="F2" s="26"/>
    </row>
    <row r="3" spans="1:8" ht="19.5" customHeight="1">
      <c r="A3" s="9"/>
      <c r="B3" s="9"/>
      <c r="C3" s="10"/>
      <c r="D3" s="10"/>
    </row>
    <row r="4" spans="1:8" s="9" customFormat="1" ht="33.75" customHeight="1">
      <c r="A4" s="11"/>
      <c r="B4" s="11" t="s">
        <v>18</v>
      </c>
      <c r="C4" s="11" t="s">
        <v>1</v>
      </c>
      <c r="D4" s="11" t="s">
        <v>2</v>
      </c>
      <c r="E4" s="12" t="s">
        <v>19</v>
      </c>
      <c r="F4" s="11" t="s">
        <v>14</v>
      </c>
    </row>
    <row r="5" spans="1:8" ht="19.5" customHeight="1">
      <c r="A5" s="13">
        <v>1</v>
      </c>
      <c r="B5" s="14" t="s">
        <v>5</v>
      </c>
      <c r="C5" s="15" t="s" ph="1">
        <v>25</v>
      </c>
      <c r="D5" s="14" t="s">
        <v>4</v>
      </c>
      <c r="E5" s="25" t="s">
        <v>35</v>
      </c>
      <c r="F5" s="14" t="s">
        <v>15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3">
        <v>2</v>
      </c>
      <c r="B6" s="14" t="s">
        <v>5</v>
      </c>
      <c r="C6" s="16" t="s" ph="1">
        <v>26</v>
      </c>
      <c r="D6" s="14" t="s">
        <v>4</v>
      </c>
      <c r="E6" s="25" t="s">
        <v>36</v>
      </c>
      <c r="F6" s="14" t="s">
        <v>15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3">
        <v>3</v>
      </c>
      <c r="B7" s="14" t="s">
        <v>5</v>
      </c>
      <c r="C7" s="16" t="s" ph="1">
        <v>27</v>
      </c>
      <c r="D7" s="14" t="s">
        <v>4</v>
      </c>
      <c r="E7" s="25" t="s">
        <v>38</v>
      </c>
      <c r="F7" s="14" t="s">
        <v>15</v>
      </c>
      <c r="G7">
        <f t="shared" si="0"/>
        <v>700</v>
      </c>
      <c r="H7">
        <f t="shared" si="1"/>
        <v>700</v>
      </c>
    </row>
    <row r="8" spans="1:8" ht="19.5" customHeight="1">
      <c r="A8" s="13">
        <v>4</v>
      </c>
      <c r="B8" s="14" t="s">
        <v>6</v>
      </c>
      <c r="C8" s="16" t="s" ph="1">
        <v>28</v>
      </c>
      <c r="D8" s="14" t="s">
        <v>4</v>
      </c>
      <c r="E8" s="25" t="s">
        <v>37</v>
      </c>
      <c r="F8" s="14" t="s">
        <v>15</v>
      </c>
      <c r="G8">
        <f t="shared" si="0"/>
        <v>500</v>
      </c>
      <c r="H8">
        <f t="shared" si="1"/>
        <v>500</v>
      </c>
    </row>
    <row r="9" spans="1:8" ht="19.5" customHeight="1">
      <c r="A9" s="13">
        <v>5</v>
      </c>
      <c r="B9" s="14" t="s">
        <v>16</v>
      </c>
      <c r="C9" s="16" t="s" ph="1">
        <v>29</v>
      </c>
      <c r="D9" s="14" t="s">
        <v>17</v>
      </c>
      <c r="E9" s="25" t="s">
        <v>16</v>
      </c>
      <c r="F9" s="14" t="s">
        <v>15</v>
      </c>
      <c r="G9">
        <f t="shared" si="0"/>
        <v>500</v>
      </c>
      <c r="H9">
        <f t="shared" si="1"/>
        <v>500</v>
      </c>
    </row>
    <row r="10" spans="1:8" ht="19.5" customHeight="1">
      <c r="A10" s="13">
        <v>6</v>
      </c>
      <c r="B10" s="14"/>
      <c r="C10" s="16" ph="1"/>
      <c r="D10" s="14"/>
      <c r="E10" s="25" t="s">
        <v>15</v>
      </c>
      <c r="F10" s="14"/>
      <c r="G10">
        <f t="shared" si="0"/>
        <v>0</v>
      </c>
      <c r="H10">
        <f t="shared" si="1"/>
        <v>0</v>
      </c>
    </row>
    <row r="11" spans="1:8" ht="19.5" customHeight="1">
      <c r="A11" s="13">
        <v>7</v>
      </c>
      <c r="B11" s="14"/>
      <c r="C11" s="16" ph="1"/>
      <c r="D11" s="14"/>
      <c r="E11" s="25" t="s">
        <v>15</v>
      </c>
      <c r="F11" s="14"/>
      <c r="G11">
        <f t="shared" si="0"/>
        <v>0</v>
      </c>
      <c r="H11">
        <f t="shared" si="1"/>
        <v>0</v>
      </c>
    </row>
    <row r="12" spans="1:8" ht="19.5" customHeight="1">
      <c r="A12" s="13">
        <v>8</v>
      </c>
      <c r="B12" s="14"/>
      <c r="C12" s="16" ph="1"/>
      <c r="D12" s="14"/>
      <c r="E12" s="25" t="s">
        <v>15</v>
      </c>
      <c r="F12" s="14"/>
      <c r="G12">
        <f t="shared" si="0"/>
        <v>0</v>
      </c>
      <c r="H12">
        <f t="shared" si="1"/>
        <v>0</v>
      </c>
    </row>
    <row r="13" spans="1:8" ht="19.5" customHeight="1">
      <c r="A13" s="13">
        <v>9</v>
      </c>
      <c r="B13" s="14"/>
      <c r="C13" s="16" ph="1"/>
      <c r="D13" s="14"/>
      <c r="E13" s="25" t="s">
        <v>15</v>
      </c>
      <c r="F13" s="14"/>
      <c r="G13">
        <f t="shared" si="0"/>
        <v>0</v>
      </c>
      <c r="H13">
        <f t="shared" si="1"/>
        <v>0</v>
      </c>
    </row>
    <row r="14" spans="1:8" ht="19.5" customHeight="1">
      <c r="A14" s="13">
        <v>10</v>
      </c>
      <c r="B14" s="14"/>
      <c r="C14" s="16" ph="1"/>
      <c r="D14" s="14"/>
      <c r="E14" s="25" t="s">
        <v>15</v>
      </c>
      <c r="F14" s="14"/>
      <c r="G14">
        <f t="shared" si="0"/>
        <v>0</v>
      </c>
      <c r="H14">
        <f t="shared" si="1"/>
        <v>0</v>
      </c>
    </row>
    <row r="15" spans="1:8" ht="19.5" hidden="1" customHeight="1">
      <c r="A15" s="13">
        <v>11</v>
      </c>
      <c r="B15" s="14"/>
      <c r="C15" s="16" ph="1"/>
      <c r="D15" s="14"/>
      <c r="E15" s="25" t="s">
        <v>15</v>
      </c>
      <c r="F15" s="14"/>
      <c r="G15">
        <f t="shared" si="0"/>
        <v>0</v>
      </c>
      <c r="H15">
        <f t="shared" si="1"/>
        <v>0</v>
      </c>
    </row>
    <row r="16" spans="1:8" ht="19.5" hidden="1" customHeight="1">
      <c r="A16" s="13">
        <v>12</v>
      </c>
      <c r="B16" s="14"/>
      <c r="C16" s="16" ph="1"/>
      <c r="D16" s="14"/>
      <c r="E16" s="25" t="s">
        <v>15</v>
      </c>
      <c r="F16" s="14"/>
      <c r="G16">
        <f t="shared" si="0"/>
        <v>0</v>
      </c>
      <c r="H16">
        <f t="shared" si="1"/>
        <v>0</v>
      </c>
    </row>
    <row r="17" spans="1:8" ht="19.5" hidden="1" customHeight="1">
      <c r="A17" s="13">
        <v>13</v>
      </c>
      <c r="B17" s="14"/>
      <c r="C17" s="16" ph="1"/>
      <c r="D17" s="14"/>
      <c r="E17" s="25" t="s">
        <v>15</v>
      </c>
      <c r="F17" s="14"/>
      <c r="G17">
        <f t="shared" si="0"/>
        <v>0</v>
      </c>
      <c r="H17">
        <f t="shared" si="1"/>
        <v>0</v>
      </c>
    </row>
    <row r="18" spans="1:8" ht="19.5" hidden="1" customHeight="1">
      <c r="A18" s="13">
        <v>14</v>
      </c>
      <c r="B18" s="14"/>
      <c r="C18" s="16" ph="1"/>
      <c r="D18" s="14"/>
      <c r="E18" s="25" t="s">
        <v>15</v>
      </c>
      <c r="F18" s="14"/>
      <c r="G18">
        <f t="shared" si="0"/>
        <v>0</v>
      </c>
      <c r="H18">
        <f t="shared" si="1"/>
        <v>0</v>
      </c>
    </row>
    <row r="19" spans="1:8" ht="19.5" hidden="1" customHeight="1">
      <c r="A19" s="13">
        <v>15</v>
      </c>
      <c r="B19" s="14"/>
      <c r="C19" s="16" ph="1"/>
      <c r="D19" s="14"/>
      <c r="E19" s="25" t="s">
        <v>15</v>
      </c>
      <c r="F19" s="14"/>
      <c r="G19">
        <f t="shared" si="0"/>
        <v>0</v>
      </c>
      <c r="H19">
        <f t="shared" si="1"/>
        <v>0</v>
      </c>
    </row>
    <row r="20" spans="1:8" ht="19.5" hidden="1" customHeight="1">
      <c r="A20" s="13">
        <v>16</v>
      </c>
      <c r="B20" s="14"/>
      <c r="C20" s="17"/>
      <c r="D20" s="18"/>
      <c r="E20" s="25" t="s">
        <v>15</v>
      </c>
      <c r="F20" s="14"/>
      <c r="G20">
        <f t="shared" si="0"/>
        <v>0</v>
      </c>
      <c r="H20">
        <f t="shared" si="1"/>
        <v>0</v>
      </c>
    </row>
    <row r="21" spans="1:8" ht="19.5" hidden="1" customHeight="1">
      <c r="A21" s="13">
        <v>17</v>
      </c>
      <c r="B21" s="14" t="s">
        <v>15</v>
      </c>
      <c r="C21" s="17"/>
      <c r="D21" s="18"/>
      <c r="E21" s="25" t="s">
        <v>15</v>
      </c>
      <c r="F21" s="14"/>
      <c r="G21">
        <f t="shared" si="0"/>
        <v>0</v>
      </c>
      <c r="H21">
        <f t="shared" si="1"/>
        <v>0</v>
      </c>
    </row>
    <row r="22" spans="1:8" ht="19.5" hidden="1" customHeight="1">
      <c r="A22" s="13">
        <v>18</v>
      </c>
      <c r="B22" s="14" t="s">
        <v>15</v>
      </c>
      <c r="C22" s="17"/>
      <c r="D22" s="18"/>
      <c r="E22" s="25" t="s">
        <v>15</v>
      </c>
      <c r="F22" s="14"/>
      <c r="G22">
        <f t="shared" si="0"/>
        <v>0</v>
      </c>
      <c r="H22">
        <f t="shared" si="1"/>
        <v>0</v>
      </c>
    </row>
    <row r="23" spans="1:8" ht="19.5" hidden="1" customHeight="1">
      <c r="A23" s="13">
        <v>19</v>
      </c>
      <c r="B23" s="14" t="s">
        <v>15</v>
      </c>
      <c r="C23" s="17"/>
      <c r="D23" s="18"/>
      <c r="E23" s="25" t="s">
        <v>15</v>
      </c>
      <c r="F23" s="14"/>
      <c r="G23">
        <f t="shared" si="0"/>
        <v>0</v>
      </c>
      <c r="H23">
        <f t="shared" si="1"/>
        <v>0</v>
      </c>
    </row>
    <row r="24" spans="1:8" ht="19.5" hidden="1" customHeight="1">
      <c r="A24" s="13">
        <v>20</v>
      </c>
      <c r="B24" s="14"/>
      <c r="C24" s="16" ph="1"/>
      <c r="D24" s="14"/>
      <c r="E24" s="25" t="s">
        <v>15</v>
      </c>
      <c r="F24" s="14"/>
      <c r="G24">
        <f t="shared" si="0"/>
        <v>0</v>
      </c>
      <c r="H24">
        <f t="shared" si="1"/>
        <v>0</v>
      </c>
    </row>
    <row r="25" spans="1:8" ht="19.5" hidden="1" customHeight="1">
      <c r="A25" s="13">
        <v>21</v>
      </c>
      <c r="B25" s="14"/>
      <c r="C25" s="16" ph="1"/>
      <c r="D25" s="14"/>
      <c r="E25" s="25" t="s">
        <v>15</v>
      </c>
      <c r="F25" s="14"/>
      <c r="G25">
        <f t="shared" si="0"/>
        <v>0</v>
      </c>
      <c r="H25">
        <f t="shared" si="1"/>
        <v>0</v>
      </c>
    </row>
    <row r="26" spans="1:8" ht="19.5" hidden="1" customHeight="1">
      <c r="A26" s="13">
        <v>22</v>
      </c>
      <c r="B26" s="14"/>
      <c r="C26" s="16" ph="1"/>
      <c r="D26" s="14"/>
      <c r="E26" s="25" t="s">
        <v>15</v>
      </c>
      <c r="F26" s="14"/>
      <c r="G26">
        <f t="shared" si="0"/>
        <v>0</v>
      </c>
      <c r="H26">
        <f t="shared" si="1"/>
        <v>0</v>
      </c>
    </row>
    <row r="27" spans="1:8" ht="19.5" hidden="1" customHeight="1">
      <c r="A27" s="13">
        <v>23</v>
      </c>
      <c r="B27" s="14"/>
      <c r="C27" s="16" ph="1"/>
      <c r="D27" s="14"/>
      <c r="E27" s="25" t="s">
        <v>15</v>
      </c>
      <c r="F27" s="14"/>
      <c r="G27">
        <f t="shared" si="0"/>
        <v>0</v>
      </c>
      <c r="H27">
        <f t="shared" si="1"/>
        <v>0</v>
      </c>
    </row>
    <row r="28" spans="1:8" ht="19.5" hidden="1" customHeight="1">
      <c r="A28" s="13">
        <v>24</v>
      </c>
      <c r="B28" s="14"/>
      <c r="C28" s="16" ph="1"/>
      <c r="D28" s="14"/>
      <c r="E28" s="25" t="s">
        <v>15</v>
      </c>
      <c r="F28" s="14"/>
      <c r="G28">
        <f t="shared" si="0"/>
        <v>0</v>
      </c>
      <c r="H28">
        <f t="shared" si="1"/>
        <v>0</v>
      </c>
    </row>
    <row r="29" spans="1:8" ht="19.5" hidden="1" customHeight="1">
      <c r="A29" s="13">
        <v>25</v>
      </c>
      <c r="B29" s="14"/>
      <c r="C29" s="16" ph="1"/>
      <c r="D29" s="14"/>
      <c r="E29" s="25" t="s">
        <v>15</v>
      </c>
      <c r="F29" s="14"/>
      <c r="G29">
        <f t="shared" si="0"/>
        <v>0</v>
      </c>
      <c r="H29">
        <f t="shared" si="1"/>
        <v>0</v>
      </c>
    </row>
    <row r="30" spans="1:8" ht="19.5" hidden="1" customHeight="1">
      <c r="A30" s="13">
        <v>26</v>
      </c>
      <c r="B30" s="14"/>
      <c r="C30" s="16" ph="1"/>
      <c r="D30" s="14"/>
      <c r="E30" s="25" t="s">
        <v>15</v>
      </c>
      <c r="F30" s="14"/>
      <c r="G30">
        <f t="shared" si="0"/>
        <v>0</v>
      </c>
      <c r="H30">
        <f t="shared" si="1"/>
        <v>0</v>
      </c>
    </row>
    <row r="31" spans="1:8" ht="19.5" hidden="1" customHeight="1">
      <c r="A31" s="13">
        <v>27</v>
      </c>
      <c r="B31" s="14"/>
      <c r="C31" s="16" ph="1"/>
      <c r="D31" s="14"/>
      <c r="E31" s="25" t="s">
        <v>15</v>
      </c>
      <c r="F31" s="14"/>
      <c r="G31">
        <f t="shared" si="0"/>
        <v>0</v>
      </c>
      <c r="H31">
        <f t="shared" si="1"/>
        <v>0</v>
      </c>
    </row>
    <row r="32" spans="1:8" ht="19.5" hidden="1" customHeight="1">
      <c r="A32" s="13">
        <v>28</v>
      </c>
      <c r="B32" s="14"/>
      <c r="C32" s="16" ph="1"/>
      <c r="D32" s="14"/>
      <c r="E32" s="25" t="s">
        <v>15</v>
      </c>
      <c r="F32" s="14"/>
      <c r="G32">
        <f t="shared" si="0"/>
        <v>0</v>
      </c>
      <c r="H32">
        <f t="shared" si="1"/>
        <v>0</v>
      </c>
    </row>
    <row r="33" spans="1:8" ht="19.5" hidden="1" customHeight="1">
      <c r="A33" s="13">
        <v>29</v>
      </c>
      <c r="B33" s="14"/>
      <c r="C33" s="16" ph="1"/>
      <c r="D33" s="14"/>
      <c r="E33" s="25" t="s">
        <v>15</v>
      </c>
      <c r="F33" s="14"/>
      <c r="G33">
        <f t="shared" si="0"/>
        <v>0</v>
      </c>
      <c r="H33">
        <f t="shared" si="1"/>
        <v>0</v>
      </c>
    </row>
    <row r="34" spans="1:8" ht="19.5" hidden="1" customHeight="1">
      <c r="A34" s="13">
        <v>30</v>
      </c>
      <c r="B34" s="14"/>
      <c r="C34" s="16" ph="1"/>
      <c r="D34" s="14"/>
      <c r="E34" s="25" t="s">
        <v>15</v>
      </c>
      <c r="F34" s="14"/>
      <c r="G34">
        <f t="shared" si="0"/>
        <v>0</v>
      </c>
      <c r="H34">
        <f t="shared" si="1"/>
        <v>0</v>
      </c>
    </row>
    <row r="35" spans="1:8" ht="19.5" hidden="1" customHeight="1">
      <c r="A35" s="13">
        <v>31</v>
      </c>
      <c r="B35" s="14"/>
      <c r="C35" s="16" ph="1"/>
      <c r="D35" s="14"/>
      <c r="E35" s="25" t="s">
        <v>15</v>
      </c>
      <c r="F35" s="14"/>
      <c r="G35">
        <f t="shared" si="0"/>
        <v>0</v>
      </c>
      <c r="H35">
        <f t="shared" si="1"/>
        <v>0</v>
      </c>
    </row>
    <row r="36" spans="1:8" ht="19.5" hidden="1" customHeight="1">
      <c r="A36" s="13">
        <v>32</v>
      </c>
      <c r="B36" s="14"/>
      <c r="C36" s="16" ph="1"/>
      <c r="D36" s="14"/>
      <c r="E36" s="25" t="s">
        <v>15</v>
      </c>
      <c r="F36" s="14"/>
      <c r="G36">
        <f t="shared" si="0"/>
        <v>0</v>
      </c>
      <c r="H36">
        <f t="shared" si="1"/>
        <v>0</v>
      </c>
    </row>
    <row r="37" spans="1:8" ht="19.5" hidden="1" customHeight="1">
      <c r="A37" s="13">
        <v>33</v>
      </c>
      <c r="B37" s="14"/>
      <c r="C37" s="16" ph="1"/>
      <c r="D37" s="14"/>
      <c r="E37" s="25" t="s">
        <v>15</v>
      </c>
      <c r="F37" s="14"/>
      <c r="G37">
        <f t="shared" si="0"/>
        <v>0</v>
      </c>
      <c r="H37">
        <f t="shared" si="1"/>
        <v>0</v>
      </c>
    </row>
    <row r="38" spans="1:8" ht="19.5" hidden="1" customHeight="1">
      <c r="A38" s="13">
        <v>34</v>
      </c>
      <c r="B38" s="14"/>
      <c r="C38" s="16" ph="1"/>
      <c r="D38" s="14"/>
      <c r="E38" s="25" t="s">
        <v>15</v>
      </c>
      <c r="F38" s="14"/>
      <c r="G38">
        <f t="shared" si="0"/>
        <v>0</v>
      </c>
      <c r="H38">
        <f t="shared" si="1"/>
        <v>0</v>
      </c>
    </row>
    <row r="39" spans="1:8" ht="19.5" hidden="1" customHeight="1">
      <c r="A39" s="13">
        <v>35</v>
      </c>
      <c r="B39" s="14"/>
      <c r="C39" s="16" ph="1"/>
      <c r="D39" s="14"/>
      <c r="E39" s="25" t="s">
        <v>15</v>
      </c>
      <c r="F39" s="14"/>
      <c r="G39">
        <f t="shared" si="0"/>
        <v>0</v>
      </c>
      <c r="H39">
        <f t="shared" si="1"/>
        <v>0</v>
      </c>
    </row>
    <row r="40" spans="1:8" ht="19.5" hidden="1" customHeight="1">
      <c r="A40" s="13">
        <v>36</v>
      </c>
      <c r="B40" s="14"/>
      <c r="C40" s="17"/>
      <c r="D40" s="18"/>
      <c r="E40" s="25" t="s">
        <v>15</v>
      </c>
      <c r="F40" s="14"/>
      <c r="G40">
        <f t="shared" si="0"/>
        <v>0</v>
      </c>
      <c r="H40">
        <f t="shared" si="1"/>
        <v>0</v>
      </c>
    </row>
    <row r="41" spans="1:8" ht="19.5" hidden="1" customHeight="1">
      <c r="A41" s="13">
        <v>37</v>
      </c>
      <c r="B41" s="14" t="s">
        <v>15</v>
      </c>
      <c r="C41" s="17"/>
      <c r="D41" s="18"/>
      <c r="E41" s="25" t="s">
        <v>15</v>
      </c>
      <c r="F41" s="14"/>
      <c r="G41">
        <f t="shared" si="0"/>
        <v>0</v>
      </c>
      <c r="H41">
        <f t="shared" si="1"/>
        <v>0</v>
      </c>
    </row>
    <row r="42" spans="1:8" ht="19.5" hidden="1" customHeight="1">
      <c r="A42" s="13">
        <v>38</v>
      </c>
      <c r="B42" s="14" t="s">
        <v>15</v>
      </c>
      <c r="C42" s="17"/>
      <c r="D42" s="18"/>
      <c r="E42" s="25" t="s">
        <v>15</v>
      </c>
      <c r="F42" s="14"/>
      <c r="G42">
        <f t="shared" si="0"/>
        <v>0</v>
      </c>
      <c r="H42">
        <f t="shared" si="1"/>
        <v>0</v>
      </c>
    </row>
    <row r="43" spans="1:8" ht="19.5" hidden="1" customHeight="1">
      <c r="A43" s="13">
        <v>39</v>
      </c>
      <c r="B43" s="14" t="s">
        <v>15</v>
      </c>
      <c r="C43" s="17"/>
      <c r="D43" s="18"/>
      <c r="E43" s="25" t="s">
        <v>15</v>
      </c>
      <c r="F43" s="14"/>
      <c r="G43">
        <f t="shared" si="0"/>
        <v>0</v>
      </c>
      <c r="H43">
        <f t="shared" si="1"/>
        <v>0</v>
      </c>
    </row>
    <row r="44" spans="1:8" ht="19.5" hidden="1" customHeight="1">
      <c r="A44" s="13">
        <v>40</v>
      </c>
      <c r="B44" s="14" t="s">
        <v>15</v>
      </c>
      <c r="C44" s="17"/>
      <c r="D44" s="18"/>
      <c r="E44" s="25" t="s">
        <v>15</v>
      </c>
      <c r="F44" s="14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19" t="s">
        <v>7</v>
      </c>
      <c r="E46" s="20">
        <f>COUNTA(C5:C44)</f>
        <v>5</v>
      </c>
    </row>
    <row r="47" spans="1:8" ht="19.5" customHeight="1" thickBot="1">
      <c r="D47" s="21" t="s">
        <v>3</v>
      </c>
      <c r="E47" s="22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400-000000000000}">
      <formula1>"登録,未登録,　,"</formula1>
    </dataValidation>
    <dataValidation type="list" allowBlank="1" showInputMessage="1" showErrorMessage="1" sqref="B5:B44" xr:uid="{00000000-0002-0000-0400-000001000000}">
      <formula1>"一般,大学,高校,中学,小学,　,"</formula1>
    </dataValidation>
    <dataValidation type="list" allowBlank="1" showInputMessage="1" showErrorMessage="1" sqref="E5:E44" xr:uid="{00000000-0002-0000-04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2387-E8A8-453C-A690-B43E11C87C39}">
  <sheetPr>
    <tabColor theme="1"/>
  </sheetPr>
  <dimension ref="A1:F9"/>
  <sheetViews>
    <sheetView view="pageBreakPreview" zoomScale="115" zoomScaleNormal="100" zoomScaleSheetLayoutView="115" workbookViewId="0">
      <selection activeCell="D6" sqref="D6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75" t="s">
        <v>56</v>
      </c>
      <c r="B1" s="75"/>
      <c r="C1" s="75"/>
      <c r="D1" s="75"/>
      <c r="E1" s="75"/>
      <c r="F1" s="75"/>
    </row>
    <row r="2" spans="1:6" ht="40.5" customHeight="1">
      <c r="A2" s="75"/>
      <c r="B2" s="75"/>
      <c r="C2" s="75"/>
      <c r="D2" s="75"/>
      <c r="E2" s="75"/>
      <c r="F2" s="75"/>
    </row>
    <row r="4" spans="1:6" ht="40.5" customHeight="1">
      <c r="A4" s="76" t="str">
        <f>IF(団体名等入力!B3="","",団体名等入力!B3)</f>
        <v/>
      </c>
      <c r="B4" s="76"/>
      <c r="C4" s="5"/>
      <c r="D4" s="6"/>
      <c r="E4" s="6"/>
      <c r="F4" s="3"/>
    </row>
    <row r="5" spans="1:6" ht="14.25" customHeight="1">
      <c r="A5" s="5"/>
      <c r="B5" s="5"/>
      <c r="C5" s="5"/>
      <c r="D5" s="6"/>
      <c r="E5" s="6"/>
      <c r="F5" s="3"/>
    </row>
    <row r="6" spans="1:6" ht="40.5" customHeight="1">
      <c r="A6" s="77" t="s">
        <v>55</v>
      </c>
      <c r="B6" s="77"/>
      <c r="C6" s="77"/>
      <c r="D6" s="7">
        <f>男女シングルス!C47</f>
        <v>0</v>
      </c>
      <c r="E6" s="78" t="s">
        <v>54</v>
      </c>
      <c r="F6" s="78"/>
    </row>
    <row r="7" spans="1:6" ht="40.5" customHeight="1">
      <c r="A7" s="3"/>
      <c r="B7" s="4"/>
      <c r="C7" s="4"/>
      <c r="D7" s="4"/>
      <c r="E7" s="4"/>
      <c r="F7" s="4"/>
    </row>
    <row r="8" spans="1:6" ht="40.5" customHeight="1">
      <c r="A8" s="79"/>
      <c r="B8" s="79"/>
      <c r="C8" s="27"/>
      <c r="D8" s="74"/>
      <c r="E8" s="74"/>
      <c r="F8" s="74"/>
    </row>
    <row r="9" spans="1:6" ht="40.5" customHeight="1">
      <c r="A9" s="1"/>
      <c r="B9" s="2"/>
      <c r="C9" s="2"/>
      <c r="D9" s="74"/>
      <c r="E9" s="74"/>
      <c r="F9" s="74"/>
    </row>
  </sheetData>
  <sheetProtection sheet="1" selectLockedCells="1"/>
  <mergeCells count="7">
    <mergeCell ref="D9:F9"/>
    <mergeCell ref="A1:F2"/>
    <mergeCell ref="A4:B4"/>
    <mergeCell ref="A6:C6"/>
    <mergeCell ref="E6:F6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団体名等入力</vt:lpstr>
      <vt:lpstr>男女シングルス</vt:lpstr>
      <vt:lpstr>団体 (記載例)</vt:lpstr>
      <vt:lpstr>シングルス (記載例)</vt:lpstr>
      <vt:lpstr>合計金額</vt:lpstr>
      <vt:lpstr>Sheet1</vt:lpstr>
      <vt:lpstr>合計金額!Print_Area</vt:lpstr>
      <vt:lpstr>団体名等入力!Print_Area</vt:lpstr>
      <vt:lpstr>男女シングルス!Print_Area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2025-03-26T10:54:22Z</dcterms:modified>
</cp:coreProperties>
</file>